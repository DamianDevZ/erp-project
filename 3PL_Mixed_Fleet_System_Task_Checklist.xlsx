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hmadBader\Downloads\"/>
    </mc:Choice>
  </mc:AlternateContent>
  <xr:revisionPtr revIDLastSave="0" documentId="13_ncr:1_{3524BBAA-2FB7-4606-B229-9ED95C678970}" xr6:coauthVersionLast="47" xr6:coauthVersionMax="47" xr10:uidLastSave="{00000000-0000-0000-0000-000000000000}"/>
  <bookViews>
    <workbookView xWindow="-110" yWindow="-110" windowWidth="19420" windowHeight="11020" firstSheet="4" activeTab="7" xr2:uid="{00000000-000D-0000-FFFF-FFFF00000000}"/>
  </bookViews>
  <sheets>
    <sheet name="Lists" sheetId="1" r:id="rId1"/>
    <sheet name="Overview" sheetId="2" r:id="rId2"/>
    <sheet name="Master Tracker" sheetId="3" r:id="rId3"/>
    <sheet name="Data Model" sheetId="4" r:id="rId4"/>
    <sheet name="HR" sheetId="5" r:id="rId5"/>
    <sheet name="Operations" sheetId="6" r:id="rId6"/>
    <sheet name="Fleet" sheetId="7" r:id="rId7"/>
    <sheet name="Finance" sheetId="8" r:id="rId8"/>
    <sheet name="Compliance" sheetId="9" r:id="rId9"/>
    <sheet name="Integrations" sheetId="10" r:id="rId10"/>
    <sheet name="BI &amp; Reports" sheetId="11" r:id="rId11"/>
    <sheet name="Logic Regist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6" l="1"/>
  <c r="A10" i="6"/>
  <c r="C10" i="6"/>
  <c r="H10" i="6"/>
  <c r="I10" i="6"/>
  <c r="J10" i="6"/>
  <c r="K10" i="6"/>
  <c r="L10" i="6"/>
  <c r="M10" i="6"/>
  <c r="N10" i="6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N6" i="9"/>
  <c r="M6" i="9"/>
  <c r="L6" i="9"/>
  <c r="K6" i="9"/>
  <c r="J6" i="9"/>
  <c r="I6" i="9"/>
  <c r="H6" i="9"/>
  <c r="G6" i="9"/>
  <c r="F6" i="9"/>
  <c r="E6" i="9"/>
  <c r="D6" i="9"/>
  <c r="C6" i="9"/>
  <c r="B6" i="9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N9" i="8"/>
  <c r="M9" i="8"/>
  <c r="L9" i="8"/>
  <c r="K9" i="8"/>
  <c r="J9" i="8"/>
  <c r="I9" i="8"/>
  <c r="H9" i="8"/>
  <c r="G9" i="8"/>
  <c r="F9" i="8"/>
  <c r="E9" i="8"/>
  <c r="D9" i="8"/>
  <c r="C9" i="8"/>
  <c r="B9" i="8"/>
  <c r="N8" i="8"/>
  <c r="M8" i="8"/>
  <c r="L8" i="8"/>
  <c r="K8" i="8"/>
  <c r="J8" i="8"/>
  <c r="I8" i="8"/>
  <c r="H8" i="8"/>
  <c r="G8" i="8"/>
  <c r="F8" i="8"/>
  <c r="E8" i="8"/>
  <c r="D8" i="8"/>
  <c r="C8" i="8"/>
  <c r="B8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8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N7" i="7"/>
  <c r="M7" i="7"/>
  <c r="L7" i="7"/>
  <c r="K7" i="7"/>
  <c r="J7" i="7"/>
  <c r="I7" i="7"/>
  <c r="H7" i="7"/>
  <c r="G7" i="7"/>
  <c r="F7" i="7"/>
  <c r="E7" i="7"/>
  <c r="D7" i="7"/>
  <c r="C7" i="7"/>
  <c r="B7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N9" i="6"/>
  <c r="M9" i="6"/>
  <c r="L9" i="6"/>
  <c r="K9" i="6"/>
  <c r="J9" i="6"/>
  <c r="I9" i="6"/>
  <c r="H9" i="6"/>
  <c r="G9" i="6"/>
  <c r="F9" i="6"/>
  <c r="E9" i="6"/>
  <c r="D9" i="6"/>
  <c r="C9" i="6"/>
  <c r="B9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N7" i="6"/>
  <c r="M7" i="6"/>
  <c r="L7" i="6"/>
  <c r="K7" i="6"/>
  <c r="J7" i="6"/>
  <c r="I7" i="6"/>
  <c r="H7" i="6"/>
  <c r="G7" i="6"/>
  <c r="F7" i="6"/>
  <c r="E7" i="6"/>
  <c r="D7" i="6"/>
  <c r="C7" i="6"/>
  <c r="B7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A114" i="3"/>
  <c r="A16" i="11" s="1"/>
  <c r="A113" i="3"/>
  <c r="A15" i="11" s="1"/>
  <c r="A112" i="3"/>
  <c r="A14" i="11" s="1"/>
  <c r="A111" i="3"/>
  <c r="A13" i="11" s="1"/>
  <c r="A110" i="3"/>
  <c r="A12" i="11" s="1"/>
  <c r="A109" i="3"/>
  <c r="A11" i="11" s="1"/>
  <c r="A108" i="3"/>
  <c r="A107" i="3"/>
  <c r="A106" i="3"/>
  <c r="A8" i="11" s="1"/>
  <c r="A105" i="3"/>
  <c r="A7" i="11" s="1"/>
  <c r="A104" i="3"/>
  <c r="A6" i="11" s="1"/>
  <c r="A103" i="3"/>
  <c r="A102" i="3"/>
  <c r="A101" i="3"/>
  <c r="A13" i="10" s="1"/>
  <c r="A100" i="3"/>
  <c r="A12" i="10" s="1"/>
  <c r="A99" i="3"/>
  <c r="A11" i="10" s="1"/>
  <c r="A98" i="3"/>
  <c r="A97" i="3"/>
  <c r="A96" i="3"/>
  <c r="A95" i="3"/>
  <c r="A94" i="3"/>
  <c r="A6" i="10" s="1"/>
  <c r="A93" i="3"/>
  <c r="A17" i="9" s="1"/>
  <c r="A92" i="3"/>
  <c r="A91" i="3"/>
  <c r="A90" i="3"/>
  <c r="A89" i="3"/>
  <c r="A13" i="9" s="1"/>
  <c r="A88" i="3"/>
  <c r="A12" i="9" s="1"/>
  <c r="A87" i="3"/>
  <c r="A11" i="9" s="1"/>
  <c r="A86" i="3"/>
  <c r="A85" i="3"/>
  <c r="A84" i="3"/>
  <c r="A83" i="3"/>
  <c r="A82" i="3"/>
  <c r="A6" i="9" s="1"/>
  <c r="A81" i="3"/>
  <c r="A20" i="8" s="1"/>
  <c r="A80" i="3"/>
  <c r="A79" i="3"/>
  <c r="A78" i="3"/>
  <c r="A77" i="3"/>
  <c r="A16" i="8" s="1"/>
  <c r="A76" i="3"/>
  <c r="A15" i="8" s="1"/>
  <c r="A75" i="3"/>
  <c r="A14" i="8" s="1"/>
  <c r="A74" i="3"/>
  <c r="A73" i="3"/>
  <c r="A72" i="3"/>
  <c r="A71" i="3"/>
  <c r="A70" i="3"/>
  <c r="A9" i="8" s="1"/>
  <c r="A69" i="3"/>
  <c r="A8" i="8" s="1"/>
  <c r="A68" i="3"/>
  <c r="A67" i="3"/>
  <c r="A66" i="3"/>
  <c r="A65" i="3"/>
  <c r="A19" i="7" s="1"/>
  <c r="A64" i="3"/>
  <c r="A63" i="3"/>
  <c r="A17" i="7" s="1"/>
  <c r="A62" i="3"/>
  <c r="A61" i="3"/>
  <c r="A60" i="3"/>
  <c r="A59" i="3"/>
  <c r="A58" i="3"/>
  <c r="A57" i="3"/>
  <c r="A11" i="7" s="1"/>
  <c r="A56" i="3"/>
  <c r="A55" i="3"/>
  <c r="A54" i="3"/>
  <c r="A53" i="3"/>
  <c r="A7" i="7" s="1"/>
  <c r="A52" i="3"/>
  <c r="A51" i="3"/>
  <c r="A20" i="6" s="1"/>
  <c r="A50" i="3"/>
  <c r="A49" i="3"/>
  <c r="A48" i="3"/>
  <c r="A47" i="3"/>
  <c r="A46" i="3"/>
  <c r="A45" i="3"/>
  <c r="A14" i="6" s="1"/>
  <c r="A44" i="3"/>
  <c r="A43" i="3"/>
  <c r="A42" i="3"/>
  <c r="A41" i="3"/>
  <c r="A9" i="6" s="1"/>
  <c r="A40" i="3"/>
  <c r="A39" i="3"/>
  <c r="A7" i="6" s="1"/>
  <c r="A38" i="3"/>
  <c r="A37" i="3"/>
  <c r="A36" i="3"/>
  <c r="A35" i="3"/>
  <c r="A34" i="3"/>
  <c r="A33" i="3"/>
  <c r="A15" i="5" s="1"/>
  <c r="A32" i="3"/>
  <c r="A31" i="3"/>
  <c r="A30" i="3"/>
  <c r="A29" i="3"/>
  <c r="A11" i="5" s="1"/>
  <c r="A28" i="3"/>
  <c r="A27" i="3"/>
  <c r="A9" i="5" s="1"/>
  <c r="A26" i="3"/>
  <c r="A25" i="3"/>
  <c r="A24" i="3"/>
  <c r="A23" i="3"/>
  <c r="A22" i="3"/>
  <c r="A21" i="3"/>
  <c r="A21" i="4" s="1"/>
  <c r="A20" i="3"/>
  <c r="A19" i="3"/>
  <c r="A18" i="3"/>
  <c r="A17" i="3"/>
  <c r="A17" i="4" s="1"/>
  <c r="A16" i="3"/>
  <c r="A15" i="3"/>
  <c r="A15" i="4" s="1"/>
  <c r="A14" i="3"/>
  <c r="A13" i="3"/>
  <c r="A12" i="3"/>
  <c r="A11" i="3"/>
  <c r="A10" i="3"/>
  <c r="A9" i="3"/>
  <c r="A9" i="4" s="1"/>
  <c r="A8" i="3"/>
  <c r="A7" i="3"/>
  <c r="A6" i="3"/>
  <c r="C22" i="2"/>
  <c r="D22" i="2" s="1"/>
  <c r="B22" i="2"/>
  <c r="C21" i="2"/>
  <c r="B21" i="2"/>
  <c r="D21" i="2" s="1"/>
  <c r="C20" i="2"/>
  <c r="B20" i="2"/>
  <c r="D20" i="2" s="1"/>
  <c r="C19" i="2"/>
  <c r="B19" i="2"/>
  <c r="D19" i="2" s="1"/>
  <c r="C18" i="2"/>
  <c r="B18" i="2"/>
  <c r="D18" i="2" s="1"/>
  <c r="C17" i="2"/>
  <c r="B17" i="2"/>
  <c r="D17" i="2" s="1"/>
  <c r="C16" i="2"/>
  <c r="B16" i="2"/>
  <c r="D16" i="2" s="1"/>
  <c r="C15" i="2"/>
  <c r="B15" i="2"/>
  <c r="D15" i="2" s="1"/>
  <c r="N6" i="2"/>
  <c r="J6" i="2"/>
  <c r="N3" i="2"/>
  <c r="J3" i="2"/>
  <c r="J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Update status as work progresses.</t>
        </r>
      </text>
    </comment>
    <comment ref="L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Assign responsible person or team.</t>
        </r>
      </text>
    </comment>
    <comment ref="M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Optional target date for planning.</t>
        </r>
      </text>
    </comment>
    <comment ref="N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Use for blockers, assumptions, or links.</t>
        </r>
      </text>
    </comment>
  </commentList>
</comments>
</file>

<file path=xl/sharedStrings.xml><?xml version="1.0" encoding="utf-8"?>
<sst xmlns="http://schemas.openxmlformats.org/spreadsheetml/2006/main" count="1763" uniqueCount="536">
  <si>
    <t>Not Started</t>
  </si>
  <si>
    <t>Critical</t>
  </si>
  <si>
    <t>Phase 1 - Foundation</t>
  </si>
  <si>
    <t>All</t>
  </si>
  <si>
    <t>In Progress</t>
  </si>
  <si>
    <t>High</t>
  </si>
  <si>
    <t>Phase 2 - Core Operations</t>
  </si>
  <si>
    <t>All (varies by source type)</t>
  </si>
  <si>
    <t>Blocked</t>
  </si>
  <si>
    <t>Medium</t>
  </si>
  <si>
    <t>Phase 3 - Finance &amp; Control</t>
  </si>
  <si>
    <t>Owned Only</t>
  </si>
  <si>
    <t>Done</t>
  </si>
  <si>
    <t>Low</t>
  </si>
  <si>
    <t>Phase 4 - Integrations &amp; BI</t>
  </si>
  <si>
    <t>Rented Only</t>
  </si>
  <si>
    <t>Deferred</t>
  </si>
  <si>
    <t>Rider-Owned Only</t>
  </si>
  <si>
    <t>Owned + Rented</t>
  </si>
  <si>
    <t>3PL Mixed-Fleet System Build Checklist</t>
  </si>
  <si>
    <t>Total Tasks</t>
  </si>
  <si>
    <t>Purpose</t>
  </si>
  <si>
    <t>This workbook converts the mixed-fleet system design into a practical task tracker and logic checklist for HR, Operations, Fleet, Finance, Compliance, Integrations, and BI.</t>
  </si>
  <si>
    <t>Completed</t>
  </si>
  <si>
    <t>How to use</t>
  </si>
  <si>
    <t>1) Update Owner, Target Date, Status and Notes in the Master Tracker.</t>
  </si>
  <si>
    <t>2) Use the module tabs as linked reference views by department.</t>
  </si>
  <si>
    <t>Completion %</t>
  </si>
  <si>
    <t>3) Review the Logic Register before development to lock core rules.</t>
  </si>
  <si>
    <t>4) Vehicle source types assumed: RENTED_BY_COMPANY, OWNED_BY_COMPANY, RIDER_OWNED.</t>
  </si>
  <si>
    <t>Module Progress Summary</t>
  </si>
  <si>
    <t>Status Legend</t>
  </si>
  <si>
    <t>Module</t>
  </si>
  <si>
    <t>% Complete</t>
  </si>
  <si>
    <t>Data Model</t>
  </si>
  <si>
    <t>HR</t>
  </si>
  <si>
    <t>Operations</t>
  </si>
  <si>
    <t>Fleet</t>
  </si>
  <si>
    <t>Finance</t>
  </si>
  <si>
    <t>Compliance</t>
  </si>
  <si>
    <t>Integrations</t>
  </si>
  <si>
    <t>BI &amp; Reports</t>
  </si>
  <si>
    <t>Last updated</t>
  </si>
  <si>
    <t>Master Tracker</t>
  </si>
  <si>
    <t>Source-of-truth execution tracker. Update Status, Owner, Target Date and Notes here; department tabs reference this sheet.</t>
  </si>
  <si>
    <t>Checklist</t>
  </si>
  <si>
    <t>Task ID</t>
  </si>
  <si>
    <t>Workstream</t>
  </si>
  <si>
    <t>Task</t>
  </si>
  <si>
    <t>Deliverable / Logic</t>
  </si>
  <si>
    <t>Source Type Impact</t>
  </si>
  <si>
    <t>Priority</t>
  </si>
  <si>
    <t>Phase</t>
  </si>
  <si>
    <t>Dependency</t>
  </si>
  <si>
    <t>Status</t>
  </si>
  <si>
    <t>Owner</t>
  </si>
  <si>
    <t>Target Date</t>
  </si>
  <si>
    <t>Notes</t>
  </si>
  <si>
    <t>T-001</t>
  </si>
  <si>
    <t>Core Entities</t>
  </si>
  <si>
    <t>Define master ID strategy and audit fields across all tables</t>
  </si>
  <si>
    <t>Common primary keys, created/updated timestamps, soft delete and source tracking</t>
  </si>
  <si>
    <t/>
  </si>
  <si>
    <t>T-002</t>
  </si>
  <si>
    <t>Create Riders entity and base profile fields</t>
  </si>
  <si>
    <t>Personal details, license, visa, bank, status and rider category</t>
  </si>
  <si>
    <t>T-003</t>
  </si>
  <si>
    <t>Create Vehicles entity with mixed-fleet attributes</t>
  </si>
  <si>
    <t>Plate, make/model, status, compliance dates and current assignment</t>
  </si>
  <si>
    <t>T-004</t>
  </si>
  <si>
    <t>Mixed Fleet Logic</t>
  </si>
  <si>
    <t>Add vehicle_source_type enumeration</t>
  </si>
  <si>
    <t>RENTED_BY_COMPANY, OWNED_BY_COMPANY, RIDER_OWNED</t>
  </si>
  <si>
    <t>T-005</t>
  </si>
  <si>
    <t>Create Vehicle_Source_Details entity</t>
  </si>
  <si>
    <t>Ownership, supplier, purchase/rent cost, responsibilities and contract dates</t>
  </si>
  <si>
    <t>T-006</t>
  </si>
  <si>
    <t>Assignments</t>
  </si>
  <si>
    <t>Create Rider_Vehicle_Assignments history table</t>
  </si>
  <si>
    <t>Track assignment start/end, aggregator, client and reason for reassignment</t>
  </si>
  <si>
    <t>T-007</t>
  </si>
  <si>
    <t>Commercial Data</t>
  </si>
  <si>
    <t>Create Clients entity</t>
  </si>
  <si>
    <t>3PL customer / legal entity records for multi-client support</t>
  </si>
  <si>
    <t>T-008</t>
  </si>
  <si>
    <t>Create Aggregators entity</t>
  </si>
  <si>
    <t>Talabat, Jahez, Keeta and any future partner configuration</t>
  </si>
  <si>
    <t>T-009</t>
  </si>
  <si>
    <t>Create Contracts entity</t>
  </si>
  <si>
    <t>Rates, validity dates, billing terms and service rules by client / aggregator</t>
  </si>
  <si>
    <t>T-010</t>
  </si>
  <si>
    <t>Operations Data</t>
  </si>
  <si>
    <t>Create Shifts entity</t>
  </si>
  <si>
    <t>Shift types, scheduled hours, attendance linkage and allocation rules</t>
  </si>
  <si>
    <t>T-011</t>
  </si>
  <si>
    <t>Create Attendance entity</t>
  </si>
  <si>
    <t>GPS check-in/out, worked hours, exceptions and approval status</t>
  </si>
  <si>
    <t>T-012</t>
  </si>
  <si>
    <t>Create Orders entity</t>
  </si>
  <si>
    <t>External order ID, rider, vehicle, distance, revenue, payout and source import batch</t>
  </si>
  <si>
    <t>T-013</t>
  </si>
  <si>
    <t>Fleet Data</t>
  </si>
  <si>
    <t>Create Maintenance_Events entity</t>
  </si>
  <si>
    <t>Service/repair/accident records with paid_by and recovered_from fields</t>
  </si>
  <si>
    <t>T-014</t>
  </si>
  <si>
    <t>Finance Data</t>
  </si>
  <si>
    <t>Create Payroll entity</t>
  </si>
  <si>
    <t>Fixed pay, per-order pay, allowances, deductions, advances and net pay</t>
  </si>
  <si>
    <t>T-015</t>
  </si>
  <si>
    <t>Create Finance_Ledger / cost allocation structure</t>
  </si>
  <si>
    <t>Map vehicle, rider, supplier and aggregator transactions for reporting</t>
  </si>
  <si>
    <t>T-016</t>
  </si>
  <si>
    <t>Risk &amp; Controls</t>
  </si>
  <si>
    <t>Create Incidents / accidents entity</t>
  </si>
  <si>
    <t>Capture incident type, responsibility, cost recovery and downtime impact</t>
  </si>
  <si>
    <t>T-017</t>
  </si>
  <si>
    <t>Define master status enums for riders, vehicles, orders and compliance</t>
  </si>
  <si>
    <t>Ensure controlled values and reusable logic across modules</t>
  </si>
  <si>
    <t>T-018</t>
  </si>
  <si>
    <t>Security</t>
  </si>
  <si>
    <t>Design user roles and permission matrix</t>
  </si>
  <si>
    <t>HR, Ops, Fleet, Finance, Compliance, Admin and Executive access rights</t>
  </si>
  <si>
    <t>T-019</t>
  </si>
  <si>
    <t>Onboarding</t>
  </si>
  <si>
    <t>Define rider onboarding workflow</t>
  </si>
  <si>
    <t>Steps from application to activation including document approval</t>
  </si>
  <si>
    <t>T-020</t>
  </si>
  <si>
    <t>Create rider category rules based on transport model</t>
  </si>
  <si>
    <t>Different handling for company-bike riders vs rider-owned riders</t>
  </si>
  <si>
    <t>T-021</t>
  </si>
  <si>
    <t>Build document collection checklist</t>
  </si>
  <si>
    <t>CPR/ID, visa, license, contract, bank, emergency contact</t>
  </si>
  <si>
    <t>T-022</t>
  </si>
  <si>
    <t>Contracts</t>
  </si>
  <si>
    <t>Prepare employment / service contract templates</t>
  </si>
  <si>
    <t>Separate clauses for company vehicle, rented vehicle and rider-owned vehicle cases</t>
  </si>
  <si>
    <t>T-023</t>
  </si>
  <si>
    <t>Capture deposit / deduction agreements where applicable</t>
  </si>
  <si>
    <t>Vehicle damage, uniform, equipment or advance recovery logic</t>
  </si>
  <si>
    <t>T-024</t>
  </si>
  <si>
    <t>Track visa and license expiry alerts</t>
  </si>
  <si>
    <t>Prevent activation of riders with invalid legal documents</t>
  </si>
  <si>
    <t>T-025</t>
  </si>
  <si>
    <t>Payroll Inputs</t>
  </si>
  <si>
    <t>Define pay components and earning rules</t>
  </si>
  <si>
    <t>Fixed salary, per-order, extra km, allowance, deductions and incentives</t>
  </si>
  <si>
    <t>T-026</t>
  </si>
  <si>
    <t>Define own-bike allowance policy</t>
  </si>
  <si>
    <t>When and how rider-owned vehicle riders receive transport allowance</t>
  </si>
  <si>
    <t>T-027</t>
  </si>
  <si>
    <t>Define company-bike deduction policy</t>
  </si>
  <si>
    <t>Monthly/daily deduction or damage recovery for company vehicles</t>
  </si>
  <si>
    <t>T-028</t>
  </si>
  <si>
    <t>Attendance</t>
  </si>
  <si>
    <t>Design attendance approval flow</t>
  </si>
  <si>
    <t>Missed check-in, manual override, lateness and supervisor approval</t>
  </si>
  <si>
    <t>T-029</t>
  </si>
  <si>
    <t>People Ops</t>
  </si>
  <si>
    <t>Create disciplinary process linked to vehicle misuse</t>
  </si>
  <si>
    <t>Late return, reckless use, damage and repeated non-compliance</t>
  </si>
  <si>
    <t>T-030</t>
  </si>
  <si>
    <t>Create offboarding checklist</t>
  </si>
  <si>
    <t>Final payroll, asset return, account disablement and document archive</t>
  </si>
  <si>
    <t>T-031</t>
  </si>
  <si>
    <t>Design leave / absence handling</t>
  </si>
  <si>
    <t>Link leave status to roster and payroll</t>
  </si>
  <si>
    <t>T-032</t>
  </si>
  <si>
    <t>Dashboard</t>
  </si>
  <si>
    <t>Define HR dashboard metrics</t>
  </si>
  <si>
    <t>Headcount, active riders, expired docs, churn and payroll exceptions</t>
  </si>
  <si>
    <t>T-033</t>
  </si>
  <si>
    <t>Shift Planning</t>
  </si>
  <si>
    <t>Build shift planning and roster structure</t>
  </si>
  <si>
    <t>Daily/weekly rider scheduling by client and aggregator</t>
  </si>
  <si>
    <t>T-034</t>
  </si>
  <si>
    <t>Create rider eligibility check before shift activation</t>
  </si>
  <si>
    <t>Only activate riders with valid docs and approved vehicle</t>
  </si>
  <si>
    <t>T-035</t>
  </si>
  <si>
    <t>Allocation</t>
  </si>
  <si>
    <t>Design rider allocation rules by aggregator</t>
  </si>
  <si>
    <t>Talabat / Jahez / Keeta assignment logic and eligibility mapping</t>
  </si>
  <si>
    <t>T-036</t>
  </si>
  <si>
    <t>Build rider + vehicle pairing workflow</t>
  </si>
  <si>
    <t>Assign compliant available vehicle to rider for active shift</t>
  </si>
  <si>
    <t>T-037</t>
  </si>
  <si>
    <t>Live Control</t>
  </si>
  <si>
    <t>Design live operations control tower view</t>
  </si>
  <si>
    <t>Online riders, active orders, issues, idle riders and replacement needs</t>
  </si>
  <si>
    <t>T-038</t>
  </si>
  <si>
    <t>Create breakdown escalation workflow</t>
  </si>
  <si>
    <t>Different path for owned, rented and rider-owned vehicle incidents</t>
  </si>
  <si>
    <t>T-039</t>
  </si>
  <si>
    <t>Connect attendance to operations roster</t>
  </si>
  <si>
    <t>Show no-shows, late arrivals and active shift status in ops view</t>
  </si>
  <si>
    <t>T-040</t>
  </si>
  <si>
    <t>Orders</t>
  </si>
  <si>
    <t>Create manual order import fallback process</t>
  </si>
  <si>
    <t>CSV/manual upload when API is unavailable</t>
  </si>
  <si>
    <t>T-041</t>
  </si>
  <si>
    <t>Define order reconciliation process</t>
  </si>
  <si>
    <t>Validate order count, distance, earnings and rider mapping against aggregator data</t>
  </si>
  <si>
    <t>T-042</t>
  </si>
  <si>
    <t>Build exception queue for unassigned or mismatched orders</t>
  </si>
  <si>
    <t>Surface issues where order, rider or vehicle mapping fails</t>
  </si>
  <si>
    <t>T-043</t>
  </si>
  <si>
    <t>Incidents</t>
  </si>
  <si>
    <t>Define accident / incident operating procedure</t>
  </si>
  <si>
    <t>Who escalates, who approves, what evidence is required</t>
  </si>
  <si>
    <t>T-044</t>
  </si>
  <si>
    <t>Resources</t>
  </si>
  <si>
    <t>Define spare / replacement vehicle dispatch logic</t>
  </si>
  <si>
    <t>How fast replacement happens and who is eligible</t>
  </si>
  <si>
    <t>T-045</t>
  </si>
  <si>
    <t>Create rider-owned breakdown support policy</t>
  </si>
  <si>
    <t>Clarify when the company helps and when the rider remains responsible</t>
  </si>
  <si>
    <t>T-046</t>
  </si>
  <si>
    <t>Define operations dashboard metrics</t>
  </si>
  <si>
    <t>Orders per rider, late deliveries, attendance gaps and downtime</t>
  </si>
  <si>
    <t>T-047</t>
  </si>
  <si>
    <t>Vehicle Master</t>
  </si>
  <si>
    <t>Define vehicle onboarding checklist</t>
  </si>
  <si>
    <t>Registration, insurance, photos, VIN/chassis and readiness check</t>
  </si>
  <si>
    <t>T-048</t>
  </si>
  <si>
    <t>Create source-type-specific field requirements</t>
  </si>
  <si>
    <t>Owned purchase data, rental contract data, rider ownership proof</t>
  </si>
  <si>
    <t>T-049</t>
  </si>
  <si>
    <t>Design supplier master for rented vehicles</t>
  </si>
  <si>
    <t>Supplier contacts, contracts, rates, replacement terms and SLA</t>
  </si>
  <si>
    <t>T-050</t>
  </si>
  <si>
    <t>Design owned fleet asset profile</t>
  </si>
  <si>
    <t>Purchase date, capex, expected life and disposal method</t>
  </si>
  <si>
    <t>T-051</t>
  </si>
  <si>
    <t>Design rider-owned approval workflow</t>
  </si>
  <si>
    <t>Ownership proof, inspection, insurance and registration validation</t>
  </si>
  <si>
    <t>T-052</t>
  </si>
  <si>
    <t>Implement vehicle assignment history and return flow</t>
  </si>
  <si>
    <t>Track every assignment, off-hire, replacement and return</t>
  </si>
  <si>
    <t>T-053</t>
  </si>
  <si>
    <t>Create vehicle handover checklist</t>
  </si>
  <si>
    <t>Condition, accessories, damages, odometer and acknowledgment</t>
  </si>
  <si>
    <t>T-054</t>
  </si>
  <si>
    <t>Maintenance</t>
  </si>
  <si>
    <t>Define preventive maintenance schedule</t>
  </si>
  <si>
    <t>Service intervals by km/time for company-controlled vehicles</t>
  </si>
  <si>
    <t>T-055</t>
  </si>
  <si>
    <t>Define maintenance routing rules by source type</t>
  </si>
  <si>
    <t>Supplier, internal workshop or rider responsibility</t>
  </si>
  <si>
    <t>T-056</t>
  </si>
  <si>
    <t>Capture downtime start/end and replacement requirement</t>
  </si>
  <si>
    <t>Feed utilization and loss analysis</t>
  </si>
  <si>
    <t>T-057</t>
  </si>
  <si>
    <t>Create registration / insurance / inspection expiry tracker</t>
  </si>
  <si>
    <t>Block usage of non-compliant vehicles</t>
  </si>
  <si>
    <t>T-058</t>
  </si>
  <si>
    <t>Create return-to-supplier workflow for rented vehicles</t>
  </si>
  <si>
    <t>Off-hire, condition check, penalties and closure</t>
  </si>
  <si>
    <t>T-059</t>
  </si>
  <si>
    <t>Lifecycle</t>
  </si>
  <si>
    <t>Define owned fleet lifecycle and replacement planning</t>
  </si>
  <si>
    <t>Age, condition, utilization and disposal triggers</t>
  </si>
  <si>
    <t>T-060</t>
  </si>
  <si>
    <t>Inventory</t>
  </si>
  <si>
    <t>Create spare pool / standby fleet logic</t>
  </si>
  <si>
    <t>Which vehicles are reserved as backup and when they can be deployed</t>
  </si>
  <si>
    <t>T-061</t>
  </si>
  <si>
    <t>Define fleet dashboard metrics</t>
  </si>
  <si>
    <t>Utilization, downtime, aging, maintenance due and off-road count</t>
  </si>
  <si>
    <t>T-062</t>
  </si>
  <si>
    <t>Commercial Model</t>
  </si>
  <si>
    <t>Map revenue models by aggregator and contract</t>
  </si>
  <si>
    <t>Per order, hybrid, incentives, penalties and billing cycle</t>
  </si>
  <si>
    <t>T-063</t>
  </si>
  <si>
    <t>Design client / aggregator billing rules</t>
  </si>
  <si>
    <t>Who gets billed, at what rate and under what reconciliation logic</t>
  </si>
  <si>
    <t>T-064</t>
  </si>
  <si>
    <t>Cost Model</t>
  </si>
  <si>
    <t>Build rented vehicle monthly cost model</t>
  </si>
  <si>
    <t>Rent, deposit, insurance share, uncovered repairs and downtime cost</t>
  </si>
  <si>
    <t>T-065</t>
  </si>
  <si>
    <t>Build owned vehicle monthly cost model</t>
  </si>
  <si>
    <t>Depreciation, insurance, registration, maintenance and downtime</t>
  </si>
  <si>
    <t>T-066</t>
  </si>
  <si>
    <t>Build rider-owned company cost model</t>
  </si>
  <si>
    <t>Allowance, subsidy, compliance admin and support cost</t>
  </si>
  <si>
    <t>T-067</t>
  </si>
  <si>
    <t>Payroll</t>
  </si>
  <si>
    <t>Design payroll engine formula library</t>
  </si>
  <si>
    <t>Fixed pay, per-order pay, km pay, incentive, deduction and advance recovery</t>
  </si>
  <si>
    <t>T-068</t>
  </si>
  <si>
    <t>Map vehicle-related deductions and allowances</t>
  </si>
  <si>
    <t>Different payroll treatment by vehicle source type</t>
  </si>
  <si>
    <t>T-069</t>
  </si>
  <si>
    <t>Payables</t>
  </si>
  <si>
    <t>Build supplier rental payable workflow</t>
  </si>
  <si>
    <t>Rental invoice intake, matching, approval and payment schedule</t>
  </si>
  <si>
    <t>T-070</t>
  </si>
  <si>
    <t>Assets</t>
  </si>
  <si>
    <t>Build depreciation schedule for owned fleet</t>
  </si>
  <si>
    <t>Monthly depreciation and asset book value movement</t>
  </si>
  <si>
    <t>T-071</t>
  </si>
  <si>
    <t>Receivables</t>
  </si>
  <si>
    <t>Build invoicing workflow</t>
  </si>
  <si>
    <t>Billing output by period, client, aggregator and supporting detail</t>
  </si>
  <si>
    <t>T-072</t>
  </si>
  <si>
    <t>Build collections and dispute tracker</t>
  </si>
  <si>
    <t>Invoice aging, rejections and underpayment resolution</t>
  </si>
  <si>
    <t>T-073</t>
  </si>
  <si>
    <t>Reporting</t>
  </si>
  <si>
    <t>Define profit by vehicle source type report</t>
  </si>
  <si>
    <t>Owned vs rented vs rider-owned profitability</t>
  </si>
  <si>
    <t>T-074</t>
  </si>
  <si>
    <t>Define profit by aggregator and client report</t>
  </si>
  <si>
    <t>Gross margin and unit economics by contract</t>
  </si>
  <si>
    <t>T-075</t>
  </si>
  <si>
    <t>Controls</t>
  </si>
  <si>
    <t>Design month-end close checklist</t>
  </si>
  <si>
    <t>Reconcile orders, payroll, fleet cost, AP, AR and incidents</t>
  </si>
  <si>
    <t>T-076</t>
  </si>
  <si>
    <t>Define finance dashboard metrics</t>
  </si>
  <si>
    <t>Revenue, gross margin, cost per delivery, payables and receivables</t>
  </si>
  <si>
    <t>T-077</t>
  </si>
  <si>
    <t>Policy Matrix</t>
  </si>
  <si>
    <t>Create legal and compliance document matrix</t>
  </si>
  <si>
    <t>List mandatory rider and vehicle documents by country / client / aggregator</t>
  </si>
  <si>
    <t>T-078</t>
  </si>
  <si>
    <t>Activation Controls</t>
  </si>
  <si>
    <t>Create rider activation block rules</t>
  </si>
  <si>
    <t>Stop activation for expired visa, license or invalid bank / contract status</t>
  </si>
  <si>
    <t>T-079</t>
  </si>
  <si>
    <t>Create vehicle activation block rules</t>
  </si>
  <si>
    <t>Stop use for expired registration, insurance or failed inspection</t>
  </si>
  <si>
    <t>T-080</t>
  </si>
  <si>
    <t>Source-Type Controls</t>
  </si>
  <si>
    <t>Define rider-owned vehicle approval controls</t>
  </si>
  <si>
    <t>Proof of ownership, inspection, insurance and registration verification</t>
  </si>
  <si>
    <t>T-081</t>
  </si>
  <si>
    <t>Define rented vehicle supplier control requirements</t>
  </si>
  <si>
    <t>Valid contract, return terms, liability terms and SLA</t>
  </si>
  <si>
    <t>T-082</t>
  </si>
  <si>
    <t>Define owned fleet audit requirements</t>
  </si>
  <si>
    <t>Asset tag, depreciation setup and maintenance plan existence</t>
  </si>
  <si>
    <t>T-083</t>
  </si>
  <si>
    <t>Create accident evidence checklist</t>
  </si>
  <si>
    <t>Photos, police report, rider statement, vehicle status and recovery decision</t>
  </si>
  <si>
    <t>T-084</t>
  </si>
  <si>
    <t>Create liability and recovery approval flow</t>
  </si>
  <si>
    <t>Who decides cost recovery and what threshold requires finance approval</t>
  </si>
  <si>
    <t>T-085</t>
  </si>
  <si>
    <t>Audit Trail</t>
  </si>
  <si>
    <t>Define audit log requirements</t>
  </si>
  <si>
    <t>Track who changed status, rates, assignments and payroll-sensitive fields</t>
  </si>
  <si>
    <t>T-086</t>
  </si>
  <si>
    <t>Approvals</t>
  </si>
  <si>
    <t>Define exception approval workflow</t>
  </si>
  <si>
    <t>Temporary overrides for urgent shifts, document grace periods or replacement use</t>
  </si>
  <si>
    <t>T-087</t>
  </si>
  <si>
    <t>Records</t>
  </si>
  <si>
    <t>Define document archive and retention policy</t>
  </si>
  <si>
    <t>Store rider docs, contracts, vehicle docs and supplier agreements</t>
  </si>
  <si>
    <t>T-088</t>
  </si>
  <si>
    <t>Define compliance dashboard metrics</t>
  </si>
  <si>
    <t>Expired docs, blocked riders, blocked vehicles and open incidents</t>
  </si>
  <si>
    <t>T-089</t>
  </si>
  <si>
    <t>Aggregator APIs</t>
  </si>
  <si>
    <t>Gather API requirements for Talabat / Jahez / Keeta</t>
  </si>
  <si>
    <t>Auth method, order feed, rider mapping, earnings and reconciliation data</t>
  </si>
  <si>
    <t>T-090</t>
  </si>
  <si>
    <t>Design external order ID mapping strategy</t>
  </si>
  <si>
    <t>Persist unique order references and source import lineage</t>
  </si>
  <si>
    <t>T-091</t>
  </si>
  <si>
    <t>Design earnings / incentive import mapping</t>
  </si>
  <si>
    <t>Link imported payouts to payroll and billing calculations</t>
  </si>
  <si>
    <t>T-092</t>
  </si>
  <si>
    <t>Mobility</t>
  </si>
  <si>
    <t>Define GPS / telematics integration requirements</t>
  </si>
  <si>
    <t>Location, trip timing, speed, distance and route evidence</t>
  </si>
  <si>
    <t>T-093</t>
  </si>
  <si>
    <t>Define mobile app needs for rider and supervisor</t>
  </si>
  <si>
    <t>Attendance, issues, assignment view, earnings and compliance reminders</t>
  </si>
  <si>
    <t>T-094</t>
  </si>
  <si>
    <t>Finance Systems</t>
  </si>
  <si>
    <t>Define accounting system integration scope</t>
  </si>
  <si>
    <t>AP, AR, payroll journals, asset movements and cost centers</t>
  </si>
  <si>
    <t>T-095</t>
  </si>
  <si>
    <t>Documents</t>
  </si>
  <si>
    <t>Define e-sign / document storage integration</t>
  </si>
  <si>
    <t>Contracts, document uploads and approval evidence</t>
  </si>
  <si>
    <t>T-096</t>
  </si>
  <si>
    <t>Notifications</t>
  </si>
  <si>
    <t>Create alerting requirements</t>
  </si>
  <si>
    <t>Expiry alerts, breakdown alerts, blocked activation and payroll exceptions</t>
  </si>
  <si>
    <t>T-097</t>
  </si>
  <si>
    <t>Reliability</t>
  </si>
  <si>
    <t>Design webhook retry and error handling</t>
  </si>
  <si>
    <t>Ensure imports are idempotent, monitored and replayable</t>
  </si>
  <si>
    <t>T-098</t>
  </si>
  <si>
    <t>Create integration monitoring checklist</t>
  </si>
  <si>
    <t>Daily file/API status, failures, latency and reconciliation gaps</t>
  </si>
  <si>
    <t>T-099</t>
  </si>
  <si>
    <t>Metric Design</t>
  </si>
  <si>
    <t>Create KPI dictionary</t>
  </si>
  <si>
    <t>Define formulas, owners, grain and refresh frequency for each KPI</t>
  </si>
  <si>
    <t>T-100</t>
  </si>
  <si>
    <t>Define source-type profitability KPIs</t>
  </si>
  <si>
    <t>Profit per owned / rented / rider-owned vehicle model</t>
  </si>
  <si>
    <t>T-101</t>
  </si>
  <si>
    <t>Executive Reports</t>
  </si>
  <si>
    <t>Design CEO dashboard</t>
  </si>
  <si>
    <t>Revenue, gross margin, active riders, source-type mix and risk counts</t>
  </si>
  <si>
    <t>T-102</t>
  </si>
  <si>
    <t>Design weekly executive pack</t>
  </si>
  <si>
    <t>Compact performance summary for leadership review</t>
  </si>
  <si>
    <t>T-103</t>
  </si>
  <si>
    <t>Ops Reports</t>
  </si>
  <si>
    <t>Define rider productivity report</t>
  </si>
  <si>
    <t>Orders per rider, shift hours, acceptance and downtime impact</t>
  </si>
  <si>
    <t>T-104</t>
  </si>
  <si>
    <t>Define idle rider / idle vehicle analysis</t>
  </si>
  <si>
    <t>Find underutilized resources and pairing opportunities</t>
  </si>
  <si>
    <t>T-105</t>
  </si>
  <si>
    <t>Fleet Reports</t>
  </si>
  <si>
    <t>Define fleet aging and replacement report</t>
  </si>
  <si>
    <t>Owned fleet lifecycle and disposal signals</t>
  </si>
  <si>
    <t>T-106</t>
  </si>
  <si>
    <t>Define downtime and maintenance report</t>
  </si>
  <si>
    <t>Events, hours lost, cause and replacement demand</t>
  </si>
  <si>
    <t>T-107</t>
  </si>
  <si>
    <t>Finance Reports</t>
  </si>
  <si>
    <t>Define payroll exception report</t>
  </si>
  <si>
    <t>Outliers in incentives, deductions, zero-pay and negative-pay cases</t>
  </si>
  <si>
    <t>T-108</t>
  </si>
  <si>
    <t>Define billing reconciliation report</t>
  </si>
  <si>
    <t>Order count, revenue, disputes and invoice support by period</t>
  </si>
  <si>
    <t>T-109</t>
  </si>
  <si>
    <t>Compliance Reports</t>
  </si>
  <si>
    <t>Define compliance risk report</t>
  </si>
  <si>
    <t>Upcoming expiries, blocked assets, blocked riders and unresolved incidents</t>
  </si>
  <si>
    <t>Data Model Checklist</t>
  </si>
  <si>
    <t>Linked departmental view for Data Model. Edit the Master Tracker tab as the source of truth; this tab mirrors those rows for focused review.</t>
  </si>
  <si>
    <t>HR Checklist</t>
  </si>
  <si>
    <t>Linked departmental view for HR. Edit the Master Tracker tab as the source of truth; this tab mirrors those rows for focused review.</t>
  </si>
  <si>
    <t>Operations Checklist</t>
  </si>
  <si>
    <t>Linked departmental view for Operations. Edit the Master Tracker tab as the source of truth; this tab mirrors those rows for focused review.</t>
  </si>
  <si>
    <t>Fleet Checklist</t>
  </si>
  <si>
    <t>Linked departmental view for Fleet. Edit the Master Tracker tab as the source of truth; this tab mirrors those rows for focused review.</t>
  </si>
  <si>
    <t>Finance Checklist</t>
  </si>
  <si>
    <t>Linked departmental view for Finance. Edit the Master Tracker tab as the source of truth; this tab mirrors those rows for focused review.</t>
  </si>
  <si>
    <t>Compliance Checklist</t>
  </si>
  <si>
    <t>Linked departmental view for Compliance. Edit the Master Tracker tab as the source of truth; this tab mirrors those rows for focused review.</t>
  </si>
  <si>
    <t>Integrations Checklist</t>
  </si>
  <si>
    <t>Linked departmental view for Integrations. Edit the Master Tracker tab as the source of truth; this tab mirrors those rows for focused review.</t>
  </si>
  <si>
    <t>BI &amp; Reports Checklist</t>
  </si>
  <si>
    <t>Linked departmental view for BI &amp; Reports. Edit the Master Tracker tab as the source of truth; this tab mirrors those rows for focused review.</t>
  </si>
  <si>
    <t>Logic Register &amp; Acceptance Checklist</t>
  </si>
  <si>
    <t>Lock these rules before development. Use this sheet for validation, UAT and change control.</t>
  </si>
  <si>
    <t>Rule ID</t>
  </si>
  <si>
    <t>Area</t>
  </si>
  <si>
    <t>Trigger / Event</t>
  </si>
  <si>
    <t>Expected System Behavior</t>
  </si>
  <si>
    <t>Acceptance / Test Scenario</t>
  </si>
  <si>
    <t>LR-001</t>
  </si>
  <si>
    <t>Rider activation</t>
  </si>
  <si>
    <t>When a rider is activated for a shift</t>
  </si>
  <si>
    <t>System blocks activation if visa/license/contract status is invalid</t>
  </si>
  <si>
    <t>Test rider with expired license must remain blocked</t>
  </si>
  <si>
    <t>LR-002</t>
  </si>
  <si>
    <t>Vehicle activation</t>
  </si>
  <si>
    <t>When a vehicle is assigned or used</t>
  </si>
  <si>
    <t>System blocks use if registration/insurance/inspection is invalid</t>
  </si>
  <si>
    <t>Expired insurance should stop assignment</t>
  </si>
  <si>
    <t>LR-003</t>
  </si>
  <si>
    <t>Vehicle source type</t>
  </si>
  <si>
    <t>When a vehicle record is created</t>
  </si>
  <si>
    <t>Every vehicle must have vehicle_source_type populated</t>
  </si>
  <si>
    <t>No vehicle can be saved without source type</t>
  </si>
  <si>
    <t>LR-004</t>
  </si>
  <si>
    <t>Owned vehicle costing</t>
  </si>
  <si>
    <t>During monthly costing run</t>
  </si>
  <si>
    <t>Owned vehicles use depreciation + maintenance + compliance costs</t>
  </si>
  <si>
    <t>Book value and monthly cost should update</t>
  </si>
  <si>
    <t>LR-005</t>
  </si>
  <si>
    <t>Rented vehicle costing</t>
  </si>
  <si>
    <t>Rented vehicles use rental expense + uncovered repair + compliance costs</t>
  </si>
  <si>
    <t>Rental payable should link to vehicle</t>
  </si>
  <si>
    <t>LR-006</t>
  </si>
  <si>
    <t>Rider-owned vehicle costing</t>
  </si>
  <si>
    <t>Rider-owned vehicles use allowance/subsidy/support costs only</t>
  </si>
  <si>
    <t>No company asset cost should be posted</t>
  </si>
  <si>
    <t>LR-007</t>
  </si>
  <si>
    <t>Maintenance routing</t>
  </si>
  <si>
    <t>When maintenance event is logged</t>
  </si>
  <si>
    <t>Responsible party auto-routes based on source type and contract terms</t>
  </si>
  <si>
    <t>Supplier / company / rider routing should differ</t>
  </si>
  <si>
    <t>LR-008</t>
  </si>
  <si>
    <t>Assignment history</t>
  </si>
  <si>
    <t>When rider/vehicle pairing changes</t>
  </si>
  <si>
    <t>System must create assignment start/end history record</t>
  </si>
  <si>
    <t>Previous assignment must close before new one opens</t>
  </si>
  <si>
    <t>LR-009</t>
  </si>
  <si>
    <t>Payroll allowance/deduction</t>
  </si>
  <si>
    <t>When payroll is generated</t>
  </si>
  <si>
    <t>Vehicle-related earnings or deductions depend on source type</t>
  </si>
  <si>
    <t>Own-bike allowance and company-bike deduction must not both apply</t>
  </si>
  <si>
    <t>LR-010</t>
  </si>
  <si>
    <t>Breakdown replacement</t>
  </si>
  <si>
    <t>When a vehicle becomes unavailable mid-shift</t>
  </si>
  <si>
    <t>Replacement workflow differs by source type and policy</t>
  </si>
  <si>
    <t>Rider-owned case may not auto-assign company backup</t>
  </si>
  <si>
    <t>LR-011</t>
  </si>
  <si>
    <t>Order integrity</t>
  </si>
  <si>
    <t>When orders are imported</t>
  </si>
  <si>
    <t>Imported orders must map to rider, aggregator and source batch with exception handling</t>
  </si>
  <si>
    <t>Unmapped orders should enter exception queue</t>
  </si>
  <si>
    <t>LR-012</t>
  </si>
  <si>
    <t>Billing reconciliation</t>
  </si>
  <si>
    <t>Before invoice is issued</t>
  </si>
  <si>
    <t>Invoice totals must tie to reconciled order and contract data</t>
  </si>
  <si>
    <t>Draft invoice blocked if unreconciled orders exist</t>
  </si>
  <si>
    <t>LR-013</t>
  </si>
  <si>
    <t>Compliance override</t>
  </si>
  <si>
    <t>When exception approval is used</t>
  </si>
  <si>
    <t>Temporary approval must be logged with approver, reason and expiry</t>
  </si>
  <si>
    <t>Expired override should auto-close</t>
  </si>
  <si>
    <t>LR-014</t>
  </si>
  <si>
    <t>Incident recovery</t>
  </si>
  <si>
    <t>When accident cost is booked</t>
  </si>
  <si>
    <t>Paid_by and recovered_from must be captured for every incident</t>
  </si>
  <si>
    <t>Incident without cost responsibility should be flagged</t>
  </si>
  <si>
    <t>LR-015</t>
  </si>
  <si>
    <t>Profitability segmentation</t>
  </si>
  <si>
    <t>When BI/reporting refresh runs</t>
  </si>
  <si>
    <t>Reports must segment margin by owned, rented and rider-owned models</t>
  </si>
  <si>
    <t>Mixed-source report should reconcile to total margin</t>
  </si>
  <si>
    <t>36-1</t>
  </si>
  <si>
    <t>Replace Vehicle of Rider</t>
  </si>
  <si>
    <t>in case vehicle issues ability to temp./ perm replace the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</si>
</sst>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\ hh:mm"/>
    <numFmt numFmtId="166" formatCode="dd\-mmm\-yyyy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20"/>
      <name val="Calibri"/>
    </font>
    <font>
      <b/>
      <sz val="12"/>
      <name val="Calibri"/>
    </font>
    <font>
      <b/>
      <sz val="16"/>
      <color rgb="FFFFFFFF"/>
      <name val="Calibri"/>
    </font>
    <font>
      <sz val="11"/>
      <color rgb="FF666666"/>
      <name val="Calibri"/>
    </font>
    <font>
      <sz val="14"/>
      <name val="Calibri"/>
    </font>
    <font>
      <sz val="11"/>
      <color rgb="FF0000FF"/>
      <name val="Calibri"/>
    </font>
    <font>
      <sz val="12"/>
      <color theme="10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2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10" fillId="0" borderId="0" xfId="1"/>
    <xf numFmtId="164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5" fontId="0" fillId="0" borderId="0" xfId="0" applyNumberFormat="1"/>
    <xf numFmtId="0" fontId="8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9" fillId="0" borderId="1" xfId="0" applyFont="1" applyBorder="1"/>
    <xf numFmtId="166" fontId="9" fillId="0" borderId="1" xfId="0" applyNumberFormat="1" applyFont="1" applyBorder="1"/>
    <xf numFmtId="166" fontId="0" fillId="0" borderId="1" xfId="0" applyNumberFormat="1" applyBorder="1"/>
    <xf numFmtId="0" fontId="9" fillId="0" borderId="1" xfId="0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164" fontId="4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0" fontId="7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/>
    <xf numFmtId="0" fontId="11" fillId="0" borderId="1" xfId="0" applyFont="1" applyBorder="1"/>
  </cellXfs>
  <cellStyles count="2">
    <cellStyle name="Hyperlink" xfId="1" xr:uid="{00000000-0005-0000-0000-000001000000}"/>
    <cellStyle name="Normal" xfId="0" builtinId="0"/>
  </cellStyles>
  <dxfs count="66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7855032ab3d2434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2159000</xdr:colOff>
      <xdr:row>23</xdr:row>
      <xdr:rowOff>63500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356A7110-5CAB-8B8A-C676-448A6056347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DB235220-2387-98E8-2616-43CC76444659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_Module_Summary" displayName="Overview_Module_Summary" ref="A14:D22">
  <autoFilter ref="A14:D22" xr:uid="{00000000-0009-0000-0100-000001000000}"/>
  <tableColumns count="4">
    <tableColumn id="1" xr3:uid="{00000000-0010-0000-0000-000001000000}" name="Module"/>
    <tableColumn id="2" xr3:uid="{00000000-0010-0000-0000-000002000000}" name="Total Tasks"/>
    <tableColumn id="3" xr3:uid="{00000000-0010-0000-0000-000003000000}" name="Done"/>
    <tableColumn id="4" xr3:uid="{00000000-0010-0000-0000-000004000000}" name="% Comple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_Tracker_Table" displayName="Master_Tracker_Table" ref="A5:N114">
  <autoFilter ref="A5:N114" xr:uid="{00000000-0009-0000-0100-000002000000}"/>
  <tableColumns count="14">
    <tableColumn id="1" xr3:uid="{00000000-0010-0000-0100-000001000000}" name="Checklist"/>
    <tableColumn id="2" xr3:uid="{00000000-0010-0000-0100-000002000000}" name="Task ID"/>
    <tableColumn id="3" xr3:uid="{00000000-0010-0000-0100-000003000000}" name="Module"/>
    <tableColumn id="4" xr3:uid="{00000000-0010-0000-0100-000004000000}" name="Workstream"/>
    <tableColumn id="5" xr3:uid="{00000000-0010-0000-0100-000005000000}" name="Task"/>
    <tableColumn id="6" xr3:uid="{00000000-0010-0000-0100-000006000000}" name="Deliverable / Logic"/>
    <tableColumn id="7" xr3:uid="{00000000-0010-0000-0100-000007000000}" name="Source Type Impact"/>
    <tableColumn id="8" xr3:uid="{00000000-0010-0000-0100-000008000000}" name="Priority"/>
    <tableColumn id="9" xr3:uid="{00000000-0010-0000-0100-000009000000}" name="Phase"/>
    <tableColumn id="10" xr3:uid="{00000000-0010-0000-0100-00000A000000}" name="Dependency"/>
    <tableColumn id="11" xr3:uid="{00000000-0010-0000-0100-00000B000000}" name="Status"/>
    <tableColumn id="12" xr3:uid="{00000000-0010-0000-0100-00000C000000}" name="Owner"/>
    <tableColumn id="13" xr3:uid="{00000000-0010-0000-0100-00000D000000}" name="Target Date"/>
    <tableColumn id="14" xr3:uid="{00000000-0010-0000-0100-00000E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Model_Table" displayName="DataModel_Table" ref="A5:N23">
  <autoFilter ref="A5:N23" xr:uid="{00000000-0009-0000-0100-000003000000}"/>
  <tableColumns count="14">
    <tableColumn id="1" xr3:uid="{00000000-0010-0000-0200-000001000000}" name="Checklist"/>
    <tableColumn id="2" xr3:uid="{00000000-0010-0000-0200-000002000000}" name="Task ID"/>
    <tableColumn id="3" xr3:uid="{00000000-0010-0000-0200-000003000000}" name="Module"/>
    <tableColumn id="4" xr3:uid="{00000000-0010-0000-0200-000004000000}" name="Workstream"/>
    <tableColumn id="5" xr3:uid="{00000000-0010-0000-0200-000005000000}" name="Task"/>
    <tableColumn id="6" xr3:uid="{00000000-0010-0000-0200-000006000000}" name="Deliverable / Logic"/>
    <tableColumn id="7" xr3:uid="{00000000-0010-0000-0200-000007000000}" name="Source Type Impact"/>
    <tableColumn id="8" xr3:uid="{00000000-0010-0000-0200-000008000000}" name="Priority"/>
    <tableColumn id="9" xr3:uid="{00000000-0010-0000-0200-000009000000}" name="Phase"/>
    <tableColumn id="10" xr3:uid="{00000000-0010-0000-0200-00000A000000}" name="Dependency"/>
    <tableColumn id="11" xr3:uid="{00000000-0010-0000-0200-00000B000000}" name="Status"/>
    <tableColumn id="12" xr3:uid="{00000000-0010-0000-0200-00000C000000}" name="Owner"/>
    <tableColumn id="13" xr3:uid="{00000000-0010-0000-0200-00000D000000}" name="Target Date"/>
    <tableColumn id="14" xr3:uid="{00000000-0010-0000-0200-00000E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R_Table" displayName="HR_Table" ref="A5:N19">
  <autoFilter ref="A5:N19" xr:uid="{00000000-0009-0000-0100-000004000000}"/>
  <tableColumns count="14">
    <tableColumn id="1" xr3:uid="{00000000-0010-0000-0300-000001000000}" name="Checklist"/>
    <tableColumn id="2" xr3:uid="{00000000-0010-0000-0300-000002000000}" name="Task ID"/>
    <tableColumn id="3" xr3:uid="{00000000-0010-0000-0300-000003000000}" name="Module"/>
    <tableColumn id="4" xr3:uid="{00000000-0010-0000-0300-000004000000}" name="Workstream"/>
    <tableColumn id="5" xr3:uid="{00000000-0010-0000-0300-000005000000}" name="Task"/>
    <tableColumn id="6" xr3:uid="{00000000-0010-0000-0300-000006000000}" name="Deliverable / Logic"/>
    <tableColumn id="7" xr3:uid="{00000000-0010-0000-0300-000007000000}" name="Source Type Impact"/>
    <tableColumn id="8" xr3:uid="{00000000-0010-0000-0300-000008000000}" name="Priority"/>
    <tableColumn id="9" xr3:uid="{00000000-0010-0000-0300-000009000000}" name="Phase"/>
    <tableColumn id="10" xr3:uid="{00000000-0010-0000-0300-00000A000000}" name="Dependency"/>
    <tableColumn id="11" xr3:uid="{00000000-0010-0000-0300-00000B000000}" name="Status"/>
    <tableColumn id="12" xr3:uid="{00000000-0010-0000-0300-00000C000000}" name="Owner"/>
    <tableColumn id="13" xr3:uid="{00000000-0010-0000-0300-00000D000000}" name="Target Date"/>
    <tableColumn id="14" xr3:uid="{00000000-0010-0000-0300-00000E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perations_Table" displayName="Operations_Table" ref="A5:N20">
  <autoFilter ref="A5:N20" xr:uid="{00000000-0009-0000-0100-000005000000}"/>
  <tableColumns count="14">
    <tableColumn id="1" xr3:uid="{00000000-0010-0000-0400-000001000000}" name="Checklist"/>
    <tableColumn id="2" xr3:uid="{00000000-0010-0000-0400-000002000000}" name="Task ID"/>
    <tableColumn id="3" xr3:uid="{00000000-0010-0000-0400-000003000000}" name="Module"/>
    <tableColumn id="4" xr3:uid="{00000000-0010-0000-0400-000004000000}" name="Workstream"/>
    <tableColumn id="5" xr3:uid="{00000000-0010-0000-0400-000005000000}" name="Task"/>
    <tableColumn id="6" xr3:uid="{00000000-0010-0000-0400-000006000000}" name="Deliverable / Logic"/>
    <tableColumn id="7" xr3:uid="{00000000-0010-0000-0400-000007000000}" name="Source Type Impact"/>
    <tableColumn id="8" xr3:uid="{00000000-0010-0000-0400-000008000000}" name="Priority"/>
    <tableColumn id="9" xr3:uid="{00000000-0010-0000-0400-000009000000}" name="Phase"/>
    <tableColumn id="10" xr3:uid="{00000000-0010-0000-0400-00000A000000}" name="Dependency"/>
    <tableColumn id="11" xr3:uid="{00000000-0010-0000-0400-00000B000000}" name="Status"/>
    <tableColumn id="12" xr3:uid="{00000000-0010-0000-0400-00000C000000}" name="Owner"/>
    <tableColumn id="13" xr3:uid="{00000000-0010-0000-0400-00000D000000}" name="Target Date"/>
    <tableColumn id="14" xr3:uid="{00000000-0010-0000-0400-00000E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leet_Table" displayName="Fleet_Table" ref="A5:N20">
  <autoFilter ref="A5:N20" xr:uid="{00000000-0009-0000-0100-000006000000}"/>
  <tableColumns count="14">
    <tableColumn id="1" xr3:uid="{00000000-0010-0000-0500-000001000000}" name="Checklist"/>
    <tableColumn id="2" xr3:uid="{00000000-0010-0000-0500-000002000000}" name="Task ID"/>
    <tableColumn id="3" xr3:uid="{00000000-0010-0000-0500-000003000000}" name="Module"/>
    <tableColumn id="4" xr3:uid="{00000000-0010-0000-0500-000004000000}" name="Workstream"/>
    <tableColumn id="5" xr3:uid="{00000000-0010-0000-0500-000005000000}" name="Task"/>
    <tableColumn id="6" xr3:uid="{00000000-0010-0000-0500-000006000000}" name="Deliverable / Logic"/>
    <tableColumn id="7" xr3:uid="{00000000-0010-0000-0500-000007000000}" name="Source Type Impact"/>
    <tableColumn id="8" xr3:uid="{00000000-0010-0000-0500-000008000000}" name="Priority"/>
    <tableColumn id="9" xr3:uid="{00000000-0010-0000-0500-000009000000}" name="Phase"/>
    <tableColumn id="10" xr3:uid="{00000000-0010-0000-0500-00000A000000}" name="Dependency"/>
    <tableColumn id="11" xr3:uid="{00000000-0010-0000-0500-00000B000000}" name="Status"/>
    <tableColumn id="12" xr3:uid="{00000000-0010-0000-0500-00000C000000}" name="Owner"/>
    <tableColumn id="13" xr3:uid="{00000000-0010-0000-0500-00000D000000}" name="Target Date"/>
    <tableColumn id="14" xr3:uid="{00000000-0010-0000-0500-00000E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inance_Table" displayName="Finance_Table" ref="A5:N20">
  <autoFilter ref="A5:N20" xr:uid="{00000000-0009-0000-0100-000007000000}"/>
  <tableColumns count="14">
    <tableColumn id="1" xr3:uid="{00000000-0010-0000-0600-000001000000}" name="Checklist"/>
    <tableColumn id="2" xr3:uid="{00000000-0010-0000-0600-000002000000}" name="Task ID"/>
    <tableColumn id="3" xr3:uid="{00000000-0010-0000-0600-000003000000}" name="Module"/>
    <tableColumn id="4" xr3:uid="{00000000-0010-0000-0600-000004000000}" name="Workstream"/>
    <tableColumn id="5" xr3:uid="{00000000-0010-0000-0600-000005000000}" name="Task"/>
    <tableColumn id="6" xr3:uid="{00000000-0010-0000-0600-000006000000}" name="Deliverable / Logic"/>
    <tableColumn id="7" xr3:uid="{00000000-0010-0000-0600-000007000000}" name="Source Type Impact"/>
    <tableColumn id="8" xr3:uid="{00000000-0010-0000-0600-000008000000}" name="Priority"/>
    <tableColumn id="9" xr3:uid="{00000000-0010-0000-0600-000009000000}" name="Phase"/>
    <tableColumn id="10" xr3:uid="{00000000-0010-0000-0600-00000A000000}" name="Dependency"/>
    <tableColumn id="11" xr3:uid="{00000000-0010-0000-0600-00000B000000}" name="Status"/>
    <tableColumn id="12" xr3:uid="{00000000-0010-0000-0600-00000C000000}" name="Owner"/>
    <tableColumn id="13" xr3:uid="{00000000-0010-0000-0600-00000D000000}" name="Target Date"/>
    <tableColumn id="14" xr3:uid="{00000000-0010-0000-0600-00000E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mpliance_Table" displayName="Compliance_Table" ref="A5:N17">
  <autoFilter ref="A5:N17" xr:uid="{00000000-0009-0000-0100-000008000000}"/>
  <tableColumns count="14">
    <tableColumn id="1" xr3:uid="{00000000-0010-0000-0700-000001000000}" name="Checklist"/>
    <tableColumn id="2" xr3:uid="{00000000-0010-0000-0700-000002000000}" name="Task ID"/>
    <tableColumn id="3" xr3:uid="{00000000-0010-0000-0700-000003000000}" name="Module"/>
    <tableColumn id="4" xr3:uid="{00000000-0010-0000-0700-000004000000}" name="Workstream"/>
    <tableColumn id="5" xr3:uid="{00000000-0010-0000-0700-000005000000}" name="Task"/>
    <tableColumn id="6" xr3:uid="{00000000-0010-0000-0700-000006000000}" name="Deliverable / Logic"/>
    <tableColumn id="7" xr3:uid="{00000000-0010-0000-0700-000007000000}" name="Source Type Impact"/>
    <tableColumn id="8" xr3:uid="{00000000-0010-0000-0700-000008000000}" name="Priority"/>
    <tableColumn id="9" xr3:uid="{00000000-0010-0000-0700-000009000000}" name="Phase"/>
    <tableColumn id="10" xr3:uid="{00000000-0010-0000-0700-00000A000000}" name="Dependency"/>
    <tableColumn id="11" xr3:uid="{00000000-0010-0000-0700-00000B000000}" name="Status"/>
    <tableColumn id="12" xr3:uid="{00000000-0010-0000-0700-00000C000000}" name="Owner"/>
    <tableColumn id="13" xr3:uid="{00000000-0010-0000-0700-00000D000000}" name="Target Date"/>
    <tableColumn id="14" xr3:uid="{00000000-0010-0000-0700-00000E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Integrations_Table" displayName="Integrations_Table" ref="A5:N15">
  <autoFilter ref="A5:N15" xr:uid="{00000000-0009-0000-0100-000009000000}"/>
  <tableColumns count="14">
    <tableColumn id="1" xr3:uid="{00000000-0010-0000-0800-000001000000}" name="Checklist"/>
    <tableColumn id="2" xr3:uid="{00000000-0010-0000-0800-000002000000}" name="Task ID"/>
    <tableColumn id="3" xr3:uid="{00000000-0010-0000-0800-000003000000}" name="Module"/>
    <tableColumn id="4" xr3:uid="{00000000-0010-0000-0800-000004000000}" name="Workstream"/>
    <tableColumn id="5" xr3:uid="{00000000-0010-0000-0800-000005000000}" name="Task"/>
    <tableColumn id="6" xr3:uid="{00000000-0010-0000-0800-000006000000}" name="Deliverable / Logic"/>
    <tableColumn id="7" xr3:uid="{00000000-0010-0000-0800-000007000000}" name="Source Type Impact"/>
    <tableColumn id="8" xr3:uid="{00000000-0010-0000-0800-000008000000}" name="Priority"/>
    <tableColumn id="9" xr3:uid="{00000000-0010-0000-0800-000009000000}" name="Phase"/>
    <tableColumn id="10" xr3:uid="{00000000-0010-0000-0800-00000A000000}" name="Dependency"/>
    <tableColumn id="11" xr3:uid="{00000000-0010-0000-0800-00000B000000}" name="Status"/>
    <tableColumn id="12" xr3:uid="{00000000-0010-0000-0800-00000C000000}" name="Owner"/>
    <tableColumn id="13" xr3:uid="{00000000-0010-0000-0800-00000D000000}" name="Target Date"/>
    <tableColumn id="14" xr3:uid="{00000000-0010-0000-0800-00000E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IReports_Table" displayName="BIReports_Table" ref="A5:N16">
  <autoFilter ref="A5:N16" xr:uid="{00000000-0009-0000-0100-00000A000000}"/>
  <tableColumns count="14">
    <tableColumn id="1" xr3:uid="{00000000-0010-0000-0900-000001000000}" name="Checklist"/>
    <tableColumn id="2" xr3:uid="{00000000-0010-0000-0900-000002000000}" name="Task ID"/>
    <tableColumn id="3" xr3:uid="{00000000-0010-0000-0900-000003000000}" name="Module"/>
    <tableColumn id="4" xr3:uid="{00000000-0010-0000-0900-000004000000}" name="Workstream"/>
    <tableColumn id="5" xr3:uid="{00000000-0010-0000-0900-000005000000}" name="Task"/>
    <tableColumn id="6" xr3:uid="{00000000-0010-0000-0900-000006000000}" name="Deliverable / Logic"/>
    <tableColumn id="7" xr3:uid="{00000000-0010-0000-0900-000007000000}" name="Source Type Impact"/>
    <tableColumn id="8" xr3:uid="{00000000-0010-0000-0900-000008000000}" name="Priority"/>
    <tableColumn id="9" xr3:uid="{00000000-0010-0000-0900-000009000000}" name="Phase"/>
    <tableColumn id="10" xr3:uid="{00000000-0010-0000-0900-00000A000000}" name="Dependency"/>
    <tableColumn id="11" xr3:uid="{00000000-0010-0000-0900-00000B000000}" name="Status"/>
    <tableColumn id="12" xr3:uid="{00000000-0010-0000-0900-00000C000000}" name="Owner"/>
    <tableColumn id="13" xr3:uid="{00000000-0010-0000-0900-00000D000000}" name="Target Date"/>
    <tableColumn id="14" xr3:uid="{00000000-0010-0000-0900-00000E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ogic_Register_Table" displayName="Logic_Register_Table" ref="A5:I20">
  <autoFilter ref="A5:I20" xr:uid="{00000000-0009-0000-0100-00000B000000}"/>
  <tableColumns count="9">
    <tableColumn id="1" xr3:uid="{00000000-0010-0000-0A00-000001000000}" name="Rule ID"/>
    <tableColumn id="2" xr3:uid="{00000000-0010-0000-0A00-000002000000}" name="Area"/>
    <tableColumn id="3" xr3:uid="{00000000-0010-0000-0A00-000003000000}" name="Trigger / Event"/>
    <tableColumn id="4" xr3:uid="{00000000-0010-0000-0A00-000004000000}" name="Expected System Behavior"/>
    <tableColumn id="5" xr3:uid="{00000000-0010-0000-0A00-000005000000}" name="Source Type Impact"/>
    <tableColumn id="6" xr3:uid="{00000000-0010-0000-0A00-000006000000}" name="Priority"/>
    <tableColumn id="7" xr3:uid="{00000000-0010-0000-0A00-000007000000}" name="Status"/>
    <tableColumn id="8" xr3:uid="{00000000-0010-0000-0A00-000008000000}" name="Owner"/>
    <tableColumn id="9" xr3:uid="{00000000-0010-0000-0A00-000009000000}" name="Acceptance / Test Scen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sqref="A1:XFD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D5" t="s">
        <v>17</v>
      </c>
    </row>
    <row r="6" spans="1:4" x14ac:dyDescent="0.35"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showGridLines="0" topLeftCell="A10" workbookViewId="0">
      <selection sqref="A1:H1"/>
    </sheetView>
  </sheetViews>
  <sheetFormatPr defaultRowHeight="14.5" x14ac:dyDescent="0.35"/>
  <cols>
    <col min="1" max="1" width="18" customWidth="1"/>
    <col min="2" max="2" width="22" customWidth="1"/>
    <col min="3" max="4" width="12" customWidth="1"/>
    <col min="5" max="5" width="4" customWidth="1"/>
    <col min="6" max="6" width="16" customWidth="1"/>
    <col min="7" max="7" width="10" customWidth="1"/>
    <col min="8" max="8" width="18" customWidth="1"/>
    <col min="9" max="9" width="4" customWidth="1"/>
    <col min="10" max="10" width="12" customWidth="1"/>
    <col min="11" max="12" width="10" customWidth="1"/>
    <col min="13" max="13" width="4" customWidth="1"/>
    <col min="14" max="14" width="12" customWidth="1"/>
    <col min="15" max="16" width="10" customWidth="1"/>
  </cols>
  <sheetData>
    <row r="1" spans="1:16" ht="24" customHeight="1" x14ac:dyDescent="0.55000000000000004">
      <c r="A1" s="25" t="s">
        <v>19</v>
      </c>
      <c r="B1" s="21"/>
      <c r="C1" s="21"/>
      <c r="D1" s="21"/>
      <c r="E1" s="21"/>
      <c r="F1" s="21"/>
      <c r="G1" s="21"/>
      <c r="H1" s="21"/>
    </row>
    <row r="2" spans="1:16" x14ac:dyDescent="0.35">
      <c r="J2" s="22" t="s">
        <v>20</v>
      </c>
      <c r="K2" s="21"/>
      <c r="L2" s="21"/>
      <c r="N2" s="22" t="s">
        <v>4</v>
      </c>
      <c r="O2" s="21"/>
      <c r="P2" s="21"/>
    </row>
    <row r="3" spans="1:16" ht="38" customHeight="1" x14ac:dyDescent="0.35">
      <c r="A3" s="1" t="s">
        <v>21</v>
      </c>
      <c r="B3" s="23" t="s">
        <v>22</v>
      </c>
      <c r="C3" s="21"/>
      <c r="D3" s="21"/>
      <c r="E3" s="21"/>
      <c r="F3" s="21"/>
      <c r="G3" s="21"/>
      <c r="H3" s="21"/>
      <c r="J3" s="20">
        <f>COUNTIF('Master Tracker'!$B:$B,"&lt;&gt;")-1</f>
        <v>109</v>
      </c>
      <c r="K3" s="21"/>
      <c r="L3" s="21"/>
      <c r="N3" s="20">
        <f>COUNTIF('Master Tracker'!$K:$K,"In Progress")</f>
        <v>0</v>
      </c>
      <c r="O3" s="21"/>
      <c r="P3" s="21"/>
    </row>
    <row r="4" spans="1:16" ht="16" customHeight="1" x14ac:dyDescent="0.35">
      <c r="B4" s="21"/>
      <c r="C4" s="21"/>
      <c r="D4" s="21"/>
      <c r="E4" s="21"/>
      <c r="F4" s="21"/>
      <c r="G4" s="21"/>
      <c r="H4" s="21"/>
      <c r="J4" s="21"/>
      <c r="K4" s="21"/>
      <c r="L4" s="21"/>
      <c r="N4" s="21"/>
      <c r="O4" s="21"/>
      <c r="P4" s="21"/>
    </row>
    <row r="5" spans="1:16" x14ac:dyDescent="0.35">
      <c r="J5" s="22" t="s">
        <v>23</v>
      </c>
      <c r="K5" s="21"/>
      <c r="L5" s="21"/>
      <c r="N5" s="22" t="s">
        <v>8</v>
      </c>
      <c r="O5" s="21"/>
      <c r="P5" s="21"/>
    </row>
    <row r="6" spans="1:16" ht="24" customHeight="1" x14ac:dyDescent="0.35">
      <c r="A6" s="1" t="s">
        <v>24</v>
      </c>
      <c r="J6" s="20">
        <f>COUNTIF('Master Tracker'!$K:$K,"Done")</f>
        <v>0</v>
      </c>
      <c r="K6" s="21"/>
      <c r="L6" s="21"/>
      <c r="N6" s="20">
        <f>COUNTIF('Master Tracker'!$K:$K,"Blocked")</f>
        <v>0</v>
      </c>
      <c r="O6" s="21"/>
      <c r="P6" s="21"/>
    </row>
    <row r="7" spans="1:16" ht="24" customHeight="1" x14ac:dyDescent="0.35">
      <c r="B7" s="23" t="s">
        <v>25</v>
      </c>
      <c r="C7" s="21"/>
      <c r="D7" s="21"/>
      <c r="E7" s="21"/>
      <c r="F7" s="21"/>
      <c r="G7" s="21"/>
      <c r="H7" s="21"/>
      <c r="J7" s="21"/>
      <c r="K7" s="21"/>
      <c r="L7" s="21"/>
      <c r="N7" s="21"/>
      <c r="O7" s="21"/>
      <c r="P7" s="21"/>
    </row>
    <row r="8" spans="1:16" ht="24" customHeight="1" x14ac:dyDescent="0.35">
      <c r="B8" s="23" t="s">
        <v>26</v>
      </c>
      <c r="C8" s="21"/>
      <c r="D8" s="21"/>
      <c r="E8" s="21"/>
      <c r="F8" s="21"/>
      <c r="G8" s="21"/>
      <c r="H8" s="21"/>
      <c r="J8" s="22" t="s">
        <v>27</v>
      </c>
      <c r="K8" s="21"/>
      <c r="L8" s="21"/>
    </row>
    <row r="9" spans="1:16" ht="24" customHeight="1" x14ac:dyDescent="0.35">
      <c r="B9" s="23" t="s">
        <v>28</v>
      </c>
      <c r="C9" s="21"/>
      <c r="D9" s="21"/>
      <c r="E9" s="21"/>
      <c r="F9" s="21"/>
      <c r="G9" s="21"/>
      <c r="H9" s="21"/>
      <c r="J9" s="24">
        <f>IF(J3=0,0,J6/J3)</f>
        <v>0</v>
      </c>
      <c r="K9" s="21"/>
      <c r="L9" s="21"/>
    </row>
    <row r="10" spans="1:16" ht="24" customHeight="1" x14ac:dyDescent="0.35">
      <c r="B10" s="23" t="s">
        <v>29</v>
      </c>
      <c r="C10" s="21"/>
      <c r="D10" s="21"/>
      <c r="E10" s="21"/>
      <c r="F10" s="21"/>
      <c r="G10" s="21"/>
      <c r="H10" s="21"/>
      <c r="J10" s="21"/>
      <c r="K10" s="21"/>
      <c r="L10" s="21"/>
    </row>
    <row r="13" spans="1:16" ht="15.5" x14ac:dyDescent="0.35">
      <c r="A13" s="2" t="s">
        <v>30</v>
      </c>
      <c r="F13" s="2" t="s">
        <v>31</v>
      </c>
    </row>
    <row r="14" spans="1:16" x14ac:dyDescent="0.35">
      <c r="A14" s="3" t="s">
        <v>32</v>
      </c>
      <c r="B14" s="3" t="s">
        <v>20</v>
      </c>
      <c r="C14" s="3" t="s">
        <v>12</v>
      </c>
      <c r="D14" s="3" t="s">
        <v>33</v>
      </c>
      <c r="F14" s="4" t="s">
        <v>0</v>
      </c>
      <c r="G14" s="5"/>
    </row>
    <row r="15" spans="1:16" ht="15.5" x14ac:dyDescent="0.35">
      <c r="A15" s="6" t="s">
        <v>34</v>
      </c>
      <c r="B15" s="4">
        <f>COUNTIF('Master Tracker'!$C:$C,A15)</f>
        <v>18</v>
      </c>
      <c r="C15" s="4">
        <f>COUNTIFS('Master Tracker'!$C:$C,A15,'Master Tracker'!$K:$K,"Done")</f>
        <v>0</v>
      </c>
      <c r="D15" s="7">
        <f t="shared" ref="D15:D22" si="0">IF(B15=0,0,C15/B15)</f>
        <v>0</v>
      </c>
      <c r="F15" s="4" t="s">
        <v>4</v>
      </c>
      <c r="G15" s="8"/>
    </row>
    <row r="16" spans="1:16" ht="15.5" x14ac:dyDescent="0.35">
      <c r="A16" s="6" t="s">
        <v>35</v>
      </c>
      <c r="B16" s="4">
        <f>COUNTIF('Master Tracker'!$C:$C,A16)</f>
        <v>14</v>
      </c>
      <c r="C16" s="4">
        <f>COUNTIFS('Master Tracker'!$C:$C,A16,'Master Tracker'!$K:$K,"Done")</f>
        <v>0</v>
      </c>
      <c r="D16" s="7">
        <f t="shared" si="0"/>
        <v>0</v>
      </c>
      <c r="F16" s="4" t="s">
        <v>8</v>
      </c>
      <c r="G16" s="9"/>
    </row>
    <row r="17" spans="1:7" ht="15.5" x14ac:dyDescent="0.35">
      <c r="A17" s="6" t="s">
        <v>36</v>
      </c>
      <c r="B17" s="4">
        <f>COUNTIF('Master Tracker'!$C:$C,A17)</f>
        <v>14</v>
      </c>
      <c r="C17" s="4">
        <f>COUNTIFS('Master Tracker'!$C:$C,A17,'Master Tracker'!$K:$K,"Done")</f>
        <v>0</v>
      </c>
      <c r="D17" s="7">
        <f t="shared" si="0"/>
        <v>0</v>
      </c>
      <c r="F17" s="4" t="s">
        <v>12</v>
      </c>
      <c r="G17" s="10"/>
    </row>
    <row r="18" spans="1:7" ht="15.5" x14ac:dyDescent="0.35">
      <c r="A18" s="6" t="s">
        <v>37</v>
      </c>
      <c r="B18" s="4">
        <f>COUNTIF('Master Tracker'!$C:$C,A18)</f>
        <v>15</v>
      </c>
      <c r="C18" s="4">
        <f>COUNTIFS('Master Tracker'!$C:$C,A18,'Master Tracker'!$K:$K,"Done")</f>
        <v>0</v>
      </c>
      <c r="D18" s="7">
        <f t="shared" si="0"/>
        <v>0</v>
      </c>
      <c r="F18" s="4" t="s">
        <v>16</v>
      </c>
      <c r="G18" s="11"/>
    </row>
    <row r="19" spans="1:7" ht="15.5" x14ac:dyDescent="0.35">
      <c r="A19" s="6" t="s">
        <v>38</v>
      </c>
      <c r="B19" s="4">
        <f>COUNTIF('Master Tracker'!$C:$C,A19)</f>
        <v>15</v>
      </c>
      <c r="C19" s="4">
        <f>COUNTIFS('Master Tracker'!$C:$C,A19,'Master Tracker'!$K:$K,"Done")</f>
        <v>0</v>
      </c>
      <c r="D19" s="7">
        <f t="shared" si="0"/>
        <v>0</v>
      </c>
    </row>
    <row r="20" spans="1:7" ht="15.5" x14ac:dyDescent="0.35">
      <c r="A20" s="6" t="s">
        <v>39</v>
      </c>
      <c r="B20" s="4">
        <f>COUNTIF('Master Tracker'!$C:$C,A20)</f>
        <v>12</v>
      </c>
      <c r="C20" s="4">
        <f>COUNTIFS('Master Tracker'!$C:$C,A20,'Master Tracker'!$K:$K,"Done")</f>
        <v>0</v>
      </c>
      <c r="D20" s="7">
        <f t="shared" si="0"/>
        <v>0</v>
      </c>
    </row>
    <row r="21" spans="1:7" ht="15.5" x14ac:dyDescent="0.35">
      <c r="A21" s="6" t="s">
        <v>40</v>
      </c>
      <c r="B21" s="4">
        <f>COUNTIF('Master Tracker'!$C:$C,A21)</f>
        <v>10</v>
      </c>
      <c r="C21" s="4">
        <f>COUNTIFS('Master Tracker'!$C:$C,A21,'Master Tracker'!$K:$K,"Done")</f>
        <v>0</v>
      </c>
      <c r="D21" s="7">
        <f t="shared" si="0"/>
        <v>0</v>
      </c>
    </row>
    <row r="22" spans="1:7" ht="15.5" x14ac:dyDescent="0.35">
      <c r="A22" s="6" t="s">
        <v>41</v>
      </c>
      <c r="B22" s="4">
        <f>COUNTIF('Master Tracker'!$C:$C,A22)</f>
        <v>11</v>
      </c>
      <c r="C22" s="4">
        <f>COUNTIFS('Master Tracker'!$C:$C,A22,'Master Tracker'!$K:$K,"Done")</f>
        <v>0</v>
      </c>
      <c r="D22" s="7">
        <f t="shared" si="0"/>
        <v>0</v>
      </c>
    </row>
    <row r="24" spans="1:7" x14ac:dyDescent="0.35">
      <c r="A24" s="1" t="s">
        <v>42</v>
      </c>
      <c r="B24" s="12">
        <v>46130.55166769676</v>
      </c>
    </row>
  </sheetData>
  <mergeCells count="16">
    <mergeCell ref="A1:H1"/>
    <mergeCell ref="B10:H10"/>
    <mergeCell ref="J3:L4"/>
    <mergeCell ref="B9:H9"/>
    <mergeCell ref="B3:H4"/>
    <mergeCell ref="N5:P5"/>
    <mergeCell ref="J8:L8"/>
    <mergeCell ref="J9:L10"/>
    <mergeCell ref="B7:H7"/>
    <mergeCell ref="N3:P4"/>
    <mergeCell ref="J5:L5"/>
    <mergeCell ref="B8:H8"/>
    <mergeCell ref="N6:P7"/>
    <mergeCell ref="J2:L2"/>
    <mergeCell ref="J6:L7"/>
    <mergeCell ref="N2:P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4"/>
  <sheetViews>
    <sheetView topLeftCell="C13" workbookViewId="0">
      <selection activeCell="F6" sqref="F6"/>
    </sheetView>
  </sheetViews>
  <sheetFormatPr defaultRowHeight="14.5" x14ac:dyDescent="0.35"/>
  <cols>
    <col min="1" max="1" width="12.81640625" bestFit="1" customWidth="1"/>
    <col min="2" max="2" width="11.453125" bestFit="1" customWidth="1"/>
    <col min="3" max="3" width="11.81640625" bestFit="1" customWidth="1"/>
    <col min="4" max="4" width="18.7265625" bestFit="1" customWidth="1"/>
    <col min="5" max="5" width="60.7265625" bestFit="1" customWidth="1"/>
    <col min="6" max="6" width="72.453125" bestFit="1" customWidth="1"/>
    <col min="7" max="7" width="22.36328125" bestFit="1" customWidth="1"/>
    <col min="8" max="8" width="11.54296875" bestFit="1" customWidth="1"/>
    <col min="9" max="9" width="23.81640625" bestFit="1" customWidth="1"/>
    <col min="10" max="10" width="15.7265625" bestFit="1" customWidth="1"/>
    <col min="11" max="11" width="10.6328125" bestFit="1" customWidth="1"/>
    <col min="12" max="12" width="11" bestFit="1" customWidth="1"/>
    <col min="13" max="13" width="15.1796875" bestFit="1" customWidth="1"/>
    <col min="14" max="14" width="10.26953125" bestFit="1" customWidth="1"/>
  </cols>
  <sheetData>
    <row r="1" spans="1:14" ht="16" customHeight="1" x14ac:dyDescent="0.35">
      <c r="A1" s="27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65" customHeight="1" x14ac:dyDescent="0.35">
      <c r="A2" s="26" t="s">
        <v>44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ht="17.399999999999999" customHeight="1" x14ac:dyDescent="0.35">
      <c r="A5" s="3" t="s">
        <v>45</v>
      </c>
      <c r="B5" s="3" t="s">
        <v>46</v>
      </c>
      <c r="C5" s="3" t="s">
        <v>32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ht="22.65" customHeight="1" x14ac:dyDescent="0.45">
      <c r="A6" s="13" t="str">
        <f t="shared" ref="A6:A37" si="0">IF(K6="Done","☑","☐")</f>
        <v>☐</v>
      </c>
      <c r="B6" s="14" t="s">
        <v>58</v>
      </c>
      <c r="C6" s="4" t="s">
        <v>34</v>
      </c>
      <c r="D6" s="4" t="s">
        <v>59</v>
      </c>
      <c r="E6" s="15" t="s">
        <v>60</v>
      </c>
      <c r="F6" s="15" t="s">
        <v>61</v>
      </c>
      <c r="G6" s="15" t="s">
        <v>3</v>
      </c>
      <c r="H6" s="4" t="s">
        <v>1</v>
      </c>
      <c r="I6" s="15" t="s">
        <v>2</v>
      </c>
      <c r="J6" s="4" t="s">
        <v>62</v>
      </c>
      <c r="K6" s="16" t="s">
        <v>0</v>
      </c>
      <c r="L6" s="16" t="s">
        <v>62</v>
      </c>
      <c r="M6" s="17" t="s">
        <v>62</v>
      </c>
      <c r="N6" s="4" t="s">
        <v>62</v>
      </c>
    </row>
    <row r="7" spans="1:14" ht="22.65" customHeight="1" x14ac:dyDescent="0.45">
      <c r="A7" s="13" t="str">
        <f t="shared" si="0"/>
        <v>☐</v>
      </c>
      <c r="B7" s="14" t="s">
        <v>63</v>
      </c>
      <c r="C7" s="4" t="s">
        <v>34</v>
      </c>
      <c r="D7" s="4" t="s">
        <v>59</v>
      </c>
      <c r="E7" s="15" t="s">
        <v>64</v>
      </c>
      <c r="F7" s="15" t="s">
        <v>65</v>
      </c>
      <c r="G7" s="15" t="s">
        <v>3</v>
      </c>
      <c r="H7" s="4" t="s">
        <v>1</v>
      </c>
      <c r="I7" s="15" t="s">
        <v>2</v>
      </c>
      <c r="J7" s="4" t="s">
        <v>62</v>
      </c>
      <c r="K7" s="16" t="s">
        <v>0</v>
      </c>
      <c r="L7" s="16" t="s">
        <v>62</v>
      </c>
      <c r="M7" s="17" t="s">
        <v>62</v>
      </c>
      <c r="N7" s="4" t="s">
        <v>62</v>
      </c>
    </row>
    <row r="8" spans="1:14" ht="22.65" customHeight="1" x14ac:dyDescent="0.45">
      <c r="A8" s="13" t="str">
        <f t="shared" si="0"/>
        <v>☐</v>
      </c>
      <c r="B8" s="14" t="s">
        <v>66</v>
      </c>
      <c r="C8" s="4" t="s">
        <v>34</v>
      </c>
      <c r="D8" s="4" t="s">
        <v>59</v>
      </c>
      <c r="E8" s="15" t="s">
        <v>67</v>
      </c>
      <c r="F8" s="15" t="s">
        <v>68</v>
      </c>
      <c r="G8" s="15" t="s">
        <v>3</v>
      </c>
      <c r="H8" s="4" t="s">
        <v>1</v>
      </c>
      <c r="I8" s="15" t="s">
        <v>2</v>
      </c>
      <c r="J8" s="4" t="s">
        <v>62</v>
      </c>
      <c r="K8" s="16" t="s">
        <v>0</v>
      </c>
      <c r="L8" s="16" t="s">
        <v>62</v>
      </c>
      <c r="M8" s="17" t="s">
        <v>62</v>
      </c>
      <c r="N8" s="4" t="s">
        <v>62</v>
      </c>
    </row>
    <row r="9" spans="1:14" ht="22.65" customHeight="1" x14ac:dyDescent="0.45">
      <c r="A9" s="13" t="str">
        <f t="shared" si="0"/>
        <v>☐</v>
      </c>
      <c r="B9" s="14" t="s">
        <v>69</v>
      </c>
      <c r="C9" s="4" t="s">
        <v>34</v>
      </c>
      <c r="D9" s="4" t="s">
        <v>70</v>
      </c>
      <c r="E9" s="15" t="s">
        <v>71</v>
      </c>
      <c r="F9" s="15" t="s">
        <v>72</v>
      </c>
      <c r="G9" s="15" t="s">
        <v>3</v>
      </c>
      <c r="H9" s="4" t="s">
        <v>1</v>
      </c>
      <c r="I9" s="15" t="s">
        <v>2</v>
      </c>
      <c r="J9" s="4" t="s">
        <v>62</v>
      </c>
      <c r="K9" s="16" t="s">
        <v>0</v>
      </c>
      <c r="L9" s="16" t="s">
        <v>62</v>
      </c>
      <c r="M9" s="17" t="s">
        <v>62</v>
      </c>
      <c r="N9" s="4" t="s">
        <v>62</v>
      </c>
    </row>
    <row r="10" spans="1:14" ht="22.65" customHeight="1" x14ac:dyDescent="0.45">
      <c r="A10" s="13" t="str">
        <f t="shared" si="0"/>
        <v>☐</v>
      </c>
      <c r="B10" s="14" t="s">
        <v>73</v>
      </c>
      <c r="C10" s="4" t="s">
        <v>34</v>
      </c>
      <c r="D10" s="4" t="s">
        <v>70</v>
      </c>
      <c r="E10" s="15" t="s">
        <v>74</v>
      </c>
      <c r="F10" s="15" t="s">
        <v>75</v>
      </c>
      <c r="G10" s="15" t="s">
        <v>7</v>
      </c>
      <c r="H10" s="4" t="s">
        <v>1</v>
      </c>
      <c r="I10" s="15" t="s">
        <v>2</v>
      </c>
      <c r="J10" s="4" t="s">
        <v>62</v>
      </c>
      <c r="K10" s="16" t="s">
        <v>0</v>
      </c>
      <c r="L10" s="16" t="s">
        <v>62</v>
      </c>
      <c r="M10" s="17" t="s">
        <v>62</v>
      </c>
      <c r="N10" s="4" t="s">
        <v>62</v>
      </c>
    </row>
    <row r="11" spans="1:14" ht="22.65" customHeight="1" x14ac:dyDescent="0.45">
      <c r="A11" s="13" t="str">
        <f t="shared" si="0"/>
        <v>☐</v>
      </c>
      <c r="B11" s="14" t="s">
        <v>76</v>
      </c>
      <c r="C11" s="4" t="s">
        <v>34</v>
      </c>
      <c r="D11" s="4" t="s">
        <v>77</v>
      </c>
      <c r="E11" s="15" t="s">
        <v>78</v>
      </c>
      <c r="F11" s="15" t="s">
        <v>79</v>
      </c>
      <c r="G11" s="15" t="s">
        <v>3</v>
      </c>
      <c r="H11" s="4" t="s">
        <v>1</v>
      </c>
      <c r="I11" s="15" t="s">
        <v>2</v>
      </c>
      <c r="J11" s="4" t="s">
        <v>62</v>
      </c>
      <c r="K11" s="16" t="s">
        <v>0</v>
      </c>
      <c r="L11" s="16" t="s">
        <v>62</v>
      </c>
      <c r="M11" s="17" t="s">
        <v>62</v>
      </c>
      <c r="N11" s="4" t="s">
        <v>62</v>
      </c>
    </row>
    <row r="12" spans="1:14" ht="22.65" customHeight="1" x14ac:dyDescent="0.45">
      <c r="A12" s="13" t="str">
        <f t="shared" si="0"/>
        <v>☐</v>
      </c>
      <c r="B12" s="14" t="s">
        <v>80</v>
      </c>
      <c r="C12" s="4" t="s">
        <v>34</v>
      </c>
      <c r="D12" s="4" t="s">
        <v>81</v>
      </c>
      <c r="E12" s="15" t="s">
        <v>82</v>
      </c>
      <c r="F12" s="15" t="s">
        <v>83</v>
      </c>
      <c r="G12" s="15" t="s">
        <v>3</v>
      </c>
      <c r="H12" s="4" t="s">
        <v>5</v>
      </c>
      <c r="I12" s="15" t="s">
        <v>2</v>
      </c>
      <c r="J12" s="4" t="s">
        <v>62</v>
      </c>
      <c r="K12" s="16" t="s">
        <v>0</v>
      </c>
      <c r="L12" s="16" t="s">
        <v>62</v>
      </c>
      <c r="M12" s="17" t="s">
        <v>62</v>
      </c>
      <c r="N12" s="4" t="s">
        <v>62</v>
      </c>
    </row>
    <row r="13" spans="1:14" ht="22.65" customHeight="1" x14ac:dyDescent="0.45">
      <c r="A13" s="13" t="str">
        <f t="shared" si="0"/>
        <v>☐</v>
      </c>
      <c r="B13" s="14" t="s">
        <v>84</v>
      </c>
      <c r="C13" s="4" t="s">
        <v>34</v>
      </c>
      <c r="D13" s="4" t="s">
        <v>81</v>
      </c>
      <c r="E13" s="15" t="s">
        <v>85</v>
      </c>
      <c r="F13" s="15" t="s">
        <v>86</v>
      </c>
      <c r="G13" s="15" t="s">
        <v>3</v>
      </c>
      <c r="H13" s="4" t="s">
        <v>1</v>
      </c>
      <c r="I13" s="15" t="s">
        <v>2</v>
      </c>
      <c r="J13" s="4" t="s">
        <v>62</v>
      </c>
      <c r="K13" s="16" t="s">
        <v>0</v>
      </c>
      <c r="L13" s="16" t="s">
        <v>62</v>
      </c>
      <c r="M13" s="17" t="s">
        <v>62</v>
      </c>
      <c r="N13" s="4" t="s">
        <v>62</v>
      </c>
    </row>
    <row r="14" spans="1:14" ht="22.65" customHeight="1" x14ac:dyDescent="0.45">
      <c r="A14" s="13" t="str">
        <f t="shared" si="0"/>
        <v>☐</v>
      </c>
      <c r="B14" s="14" t="s">
        <v>87</v>
      </c>
      <c r="C14" s="4" t="s">
        <v>34</v>
      </c>
      <c r="D14" s="4" t="s">
        <v>81</v>
      </c>
      <c r="E14" s="15" t="s">
        <v>88</v>
      </c>
      <c r="F14" s="15" t="s">
        <v>89</v>
      </c>
      <c r="G14" s="15" t="s">
        <v>3</v>
      </c>
      <c r="H14" s="4" t="s">
        <v>1</v>
      </c>
      <c r="I14" s="15" t="s">
        <v>6</v>
      </c>
      <c r="J14" s="4" t="s">
        <v>62</v>
      </c>
      <c r="K14" s="16" t="s">
        <v>0</v>
      </c>
      <c r="L14" s="16" t="s">
        <v>62</v>
      </c>
      <c r="M14" s="17" t="s">
        <v>62</v>
      </c>
      <c r="N14" s="4" t="s">
        <v>62</v>
      </c>
    </row>
    <row r="15" spans="1:14" ht="22.65" customHeight="1" x14ac:dyDescent="0.45">
      <c r="A15" s="13" t="str">
        <f t="shared" si="0"/>
        <v>☐</v>
      </c>
      <c r="B15" s="14" t="s">
        <v>90</v>
      </c>
      <c r="C15" s="4" t="s">
        <v>34</v>
      </c>
      <c r="D15" s="4" t="s">
        <v>91</v>
      </c>
      <c r="E15" s="15" t="s">
        <v>92</v>
      </c>
      <c r="F15" s="15" t="s">
        <v>93</v>
      </c>
      <c r="G15" s="15" t="s">
        <v>3</v>
      </c>
      <c r="H15" s="4" t="s">
        <v>5</v>
      </c>
      <c r="I15" s="15" t="s">
        <v>6</v>
      </c>
      <c r="J15" s="4" t="s">
        <v>62</v>
      </c>
      <c r="K15" s="16" t="s">
        <v>0</v>
      </c>
      <c r="L15" s="16" t="s">
        <v>62</v>
      </c>
      <c r="M15" s="17" t="s">
        <v>62</v>
      </c>
      <c r="N15" s="4" t="s">
        <v>62</v>
      </c>
    </row>
    <row r="16" spans="1:14" ht="22.65" customHeight="1" x14ac:dyDescent="0.45">
      <c r="A16" s="13" t="str">
        <f t="shared" si="0"/>
        <v>☐</v>
      </c>
      <c r="B16" s="14" t="s">
        <v>94</v>
      </c>
      <c r="C16" s="4" t="s">
        <v>34</v>
      </c>
      <c r="D16" s="4" t="s">
        <v>91</v>
      </c>
      <c r="E16" s="15" t="s">
        <v>95</v>
      </c>
      <c r="F16" s="15" t="s">
        <v>96</v>
      </c>
      <c r="G16" s="15" t="s">
        <v>3</v>
      </c>
      <c r="H16" s="4" t="s">
        <v>1</v>
      </c>
      <c r="I16" s="15" t="s">
        <v>6</v>
      </c>
      <c r="J16" s="4" t="s">
        <v>62</v>
      </c>
      <c r="K16" s="16" t="s">
        <v>0</v>
      </c>
      <c r="L16" s="16" t="s">
        <v>62</v>
      </c>
      <c r="M16" s="17" t="s">
        <v>62</v>
      </c>
      <c r="N16" s="4" t="s">
        <v>62</v>
      </c>
    </row>
    <row r="17" spans="1:14" ht="22.65" customHeight="1" x14ac:dyDescent="0.45">
      <c r="A17" s="13" t="str">
        <f t="shared" si="0"/>
        <v>☐</v>
      </c>
      <c r="B17" s="14" t="s">
        <v>97</v>
      </c>
      <c r="C17" s="4" t="s">
        <v>34</v>
      </c>
      <c r="D17" s="4" t="s">
        <v>91</v>
      </c>
      <c r="E17" s="15" t="s">
        <v>98</v>
      </c>
      <c r="F17" s="15" t="s">
        <v>99</v>
      </c>
      <c r="G17" s="15" t="s">
        <v>3</v>
      </c>
      <c r="H17" s="4" t="s">
        <v>1</v>
      </c>
      <c r="I17" s="15" t="s">
        <v>6</v>
      </c>
      <c r="J17" s="4" t="s">
        <v>62</v>
      </c>
      <c r="K17" s="16" t="s">
        <v>0</v>
      </c>
      <c r="L17" s="16" t="s">
        <v>62</v>
      </c>
      <c r="M17" s="17" t="s">
        <v>62</v>
      </c>
      <c r="N17" s="4" t="s">
        <v>62</v>
      </c>
    </row>
    <row r="18" spans="1:14" ht="22.65" customHeight="1" x14ac:dyDescent="0.45">
      <c r="A18" s="13" t="str">
        <f t="shared" si="0"/>
        <v>☐</v>
      </c>
      <c r="B18" s="14" t="s">
        <v>100</v>
      </c>
      <c r="C18" s="4" t="s">
        <v>34</v>
      </c>
      <c r="D18" s="4" t="s">
        <v>101</v>
      </c>
      <c r="E18" s="15" t="s">
        <v>102</v>
      </c>
      <c r="F18" s="15" t="s">
        <v>103</v>
      </c>
      <c r="G18" s="15" t="s">
        <v>7</v>
      </c>
      <c r="H18" s="4" t="s">
        <v>1</v>
      </c>
      <c r="I18" s="15" t="s">
        <v>10</v>
      </c>
      <c r="J18" s="4" t="s">
        <v>62</v>
      </c>
      <c r="K18" s="16" t="s">
        <v>0</v>
      </c>
      <c r="L18" s="16" t="s">
        <v>62</v>
      </c>
      <c r="M18" s="17" t="s">
        <v>62</v>
      </c>
      <c r="N18" s="4" t="s">
        <v>62</v>
      </c>
    </row>
    <row r="19" spans="1:14" ht="22.65" customHeight="1" x14ac:dyDescent="0.45">
      <c r="A19" s="13" t="str">
        <f t="shared" si="0"/>
        <v>☐</v>
      </c>
      <c r="B19" s="14" t="s">
        <v>104</v>
      </c>
      <c r="C19" s="4" t="s">
        <v>34</v>
      </c>
      <c r="D19" s="4" t="s">
        <v>105</v>
      </c>
      <c r="E19" s="15" t="s">
        <v>106</v>
      </c>
      <c r="F19" s="15" t="s">
        <v>107</v>
      </c>
      <c r="G19" s="15" t="s">
        <v>7</v>
      </c>
      <c r="H19" s="4" t="s">
        <v>1</v>
      </c>
      <c r="I19" s="15" t="s">
        <v>10</v>
      </c>
      <c r="J19" s="4" t="s">
        <v>62</v>
      </c>
      <c r="K19" s="16" t="s">
        <v>0</v>
      </c>
      <c r="L19" s="16" t="s">
        <v>62</v>
      </c>
      <c r="M19" s="17" t="s">
        <v>62</v>
      </c>
      <c r="N19" s="4" t="s">
        <v>62</v>
      </c>
    </row>
    <row r="20" spans="1:14" ht="22.65" customHeight="1" x14ac:dyDescent="0.45">
      <c r="A20" s="13" t="str">
        <f t="shared" si="0"/>
        <v>☐</v>
      </c>
      <c r="B20" s="14" t="s">
        <v>108</v>
      </c>
      <c r="C20" s="4" t="s">
        <v>34</v>
      </c>
      <c r="D20" s="4" t="s">
        <v>105</v>
      </c>
      <c r="E20" s="15" t="s">
        <v>109</v>
      </c>
      <c r="F20" s="15" t="s">
        <v>110</v>
      </c>
      <c r="G20" s="15" t="s">
        <v>3</v>
      </c>
      <c r="H20" s="4" t="s">
        <v>5</v>
      </c>
      <c r="I20" s="15" t="s">
        <v>10</v>
      </c>
      <c r="J20" s="4" t="s">
        <v>62</v>
      </c>
      <c r="K20" s="16" t="s">
        <v>0</v>
      </c>
      <c r="L20" s="16" t="s">
        <v>62</v>
      </c>
      <c r="M20" s="17" t="s">
        <v>62</v>
      </c>
      <c r="N20" s="4" t="s">
        <v>62</v>
      </c>
    </row>
    <row r="21" spans="1:14" ht="22.65" customHeight="1" x14ac:dyDescent="0.45">
      <c r="A21" s="13" t="str">
        <f t="shared" si="0"/>
        <v>☐</v>
      </c>
      <c r="B21" s="14" t="s">
        <v>111</v>
      </c>
      <c r="C21" s="4" t="s">
        <v>34</v>
      </c>
      <c r="D21" s="4" t="s">
        <v>112</v>
      </c>
      <c r="E21" s="15" t="s">
        <v>113</v>
      </c>
      <c r="F21" s="15" t="s">
        <v>114</v>
      </c>
      <c r="G21" s="15" t="s">
        <v>3</v>
      </c>
      <c r="H21" s="4" t="s">
        <v>5</v>
      </c>
      <c r="I21" s="15" t="s">
        <v>6</v>
      </c>
      <c r="J21" s="4" t="s">
        <v>62</v>
      </c>
      <c r="K21" s="16" t="s">
        <v>0</v>
      </c>
      <c r="L21" s="16" t="s">
        <v>62</v>
      </c>
      <c r="M21" s="17" t="s">
        <v>62</v>
      </c>
      <c r="N21" s="4" t="s">
        <v>62</v>
      </c>
    </row>
    <row r="22" spans="1:14" ht="22.65" customHeight="1" x14ac:dyDescent="0.45">
      <c r="A22" s="13" t="str">
        <f t="shared" si="0"/>
        <v>☐</v>
      </c>
      <c r="B22" s="14" t="s">
        <v>115</v>
      </c>
      <c r="C22" s="4" t="s">
        <v>34</v>
      </c>
      <c r="D22" s="4" t="s">
        <v>112</v>
      </c>
      <c r="E22" s="15" t="s">
        <v>116</v>
      </c>
      <c r="F22" s="15" t="s">
        <v>117</v>
      </c>
      <c r="G22" s="15" t="s">
        <v>3</v>
      </c>
      <c r="H22" s="4" t="s">
        <v>5</v>
      </c>
      <c r="I22" s="15" t="s">
        <v>2</v>
      </c>
      <c r="J22" s="4" t="s">
        <v>62</v>
      </c>
      <c r="K22" s="16" t="s">
        <v>0</v>
      </c>
      <c r="L22" s="16" t="s">
        <v>62</v>
      </c>
      <c r="M22" s="17" t="s">
        <v>62</v>
      </c>
      <c r="N22" s="4" t="s">
        <v>62</v>
      </c>
    </row>
    <row r="23" spans="1:14" ht="22.65" customHeight="1" x14ac:dyDescent="0.45">
      <c r="A23" s="13" t="str">
        <f t="shared" si="0"/>
        <v>☐</v>
      </c>
      <c r="B23" s="14" t="s">
        <v>118</v>
      </c>
      <c r="C23" s="4" t="s">
        <v>34</v>
      </c>
      <c r="D23" s="4" t="s">
        <v>119</v>
      </c>
      <c r="E23" s="15" t="s">
        <v>120</v>
      </c>
      <c r="F23" s="15" t="s">
        <v>121</v>
      </c>
      <c r="G23" s="15" t="s">
        <v>3</v>
      </c>
      <c r="H23" s="4" t="s">
        <v>5</v>
      </c>
      <c r="I23" s="15" t="s">
        <v>2</v>
      </c>
      <c r="J23" s="4" t="s">
        <v>62</v>
      </c>
      <c r="K23" s="16" t="s">
        <v>0</v>
      </c>
      <c r="L23" s="16" t="s">
        <v>62</v>
      </c>
      <c r="M23" s="17" t="s">
        <v>62</v>
      </c>
      <c r="N23" s="4" t="s">
        <v>62</v>
      </c>
    </row>
    <row r="24" spans="1:14" ht="22.65" customHeight="1" x14ac:dyDescent="0.45">
      <c r="A24" s="13" t="str">
        <f t="shared" si="0"/>
        <v>☐</v>
      </c>
      <c r="B24" s="14" t="s">
        <v>122</v>
      </c>
      <c r="C24" s="4" t="s">
        <v>35</v>
      </c>
      <c r="D24" s="4" t="s">
        <v>123</v>
      </c>
      <c r="E24" s="15" t="s">
        <v>124</v>
      </c>
      <c r="F24" s="15" t="s">
        <v>125</v>
      </c>
      <c r="G24" s="15" t="s">
        <v>3</v>
      </c>
      <c r="H24" s="4" t="s">
        <v>1</v>
      </c>
      <c r="I24" s="15" t="s">
        <v>2</v>
      </c>
      <c r="J24" s="4" t="s">
        <v>62</v>
      </c>
      <c r="K24" s="16" t="s">
        <v>0</v>
      </c>
      <c r="L24" s="16" t="s">
        <v>62</v>
      </c>
      <c r="M24" s="17" t="s">
        <v>62</v>
      </c>
      <c r="N24" s="4" t="s">
        <v>62</v>
      </c>
    </row>
    <row r="25" spans="1:14" ht="22.65" customHeight="1" x14ac:dyDescent="0.45">
      <c r="A25" s="13" t="str">
        <f t="shared" si="0"/>
        <v>☐</v>
      </c>
      <c r="B25" s="14" t="s">
        <v>126</v>
      </c>
      <c r="C25" s="4" t="s">
        <v>35</v>
      </c>
      <c r="D25" s="4" t="s">
        <v>123</v>
      </c>
      <c r="E25" s="15" t="s">
        <v>127</v>
      </c>
      <c r="F25" s="15" t="s">
        <v>128</v>
      </c>
      <c r="G25" s="15" t="s">
        <v>7</v>
      </c>
      <c r="H25" s="4" t="s">
        <v>1</v>
      </c>
      <c r="I25" s="15" t="s">
        <v>2</v>
      </c>
      <c r="J25" s="4" t="s">
        <v>62</v>
      </c>
      <c r="K25" s="16" t="s">
        <v>0</v>
      </c>
      <c r="L25" s="16" t="s">
        <v>62</v>
      </c>
      <c r="M25" s="17" t="s">
        <v>62</v>
      </c>
      <c r="N25" s="4" t="s">
        <v>62</v>
      </c>
    </row>
    <row r="26" spans="1:14" ht="22.65" customHeight="1" x14ac:dyDescent="0.45">
      <c r="A26" s="13" t="str">
        <f t="shared" si="0"/>
        <v>☐</v>
      </c>
      <c r="B26" s="14" t="s">
        <v>129</v>
      </c>
      <c r="C26" s="4" t="s">
        <v>35</v>
      </c>
      <c r="D26" s="4" t="s">
        <v>123</v>
      </c>
      <c r="E26" s="15" t="s">
        <v>130</v>
      </c>
      <c r="F26" s="15" t="s">
        <v>131</v>
      </c>
      <c r="G26" s="15" t="s">
        <v>3</v>
      </c>
      <c r="H26" s="4" t="s">
        <v>5</v>
      </c>
      <c r="I26" s="15" t="s">
        <v>2</v>
      </c>
      <c r="J26" s="4" t="s">
        <v>62</v>
      </c>
      <c r="K26" s="16" t="s">
        <v>0</v>
      </c>
      <c r="L26" s="16" t="s">
        <v>62</v>
      </c>
      <c r="M26" s="17" t="s">
        <v>62</v>
      </c>
      <c r="N26" s="4" t="s">
        <v>62</v>
      </c>
    </row>
    <row r="27" spans="1:14" ht="22.65" customHeight="1" x14ac:dyDescent="0.45">
      <c r="A27" s="13" t="str">
        <f t="shared" si="0"/>
        <v>☐</v>
      </c>
      <c r="B27" s="14" t="s">
        <v>132</v>
      </c>
      <c r="C27" s="4" t="s">
        <v>35</v>
      </c>
      <c r="D27" s="4" t="s">
        <v>133</v>
      </c>
      <c r="E27" s="15" t="s">
        <v>134</v>
      </c>
      <c r="F27" s="15" t="s">
        <v>135</v>
      </c>
      <c r="G27" s="15" t="s">
        <v>7</v>
      </c>
      <c r="H27" s="4" t="s">
        <v>5</v>
      </c>
      <c r="I27" s="15" t="s">
        <v>2</v>
      </c>
      <c r="J27" s="4" t="s">
        <v>62</v>
      </c>
      <c r="K27" s="16" t="s">
        <v>0</v>
      </c>
      <c r="L27" s="16" t="s">
        <v>62</v>
      </c>
      <c r="M27" s="17" t="s">
        <v>62</v>
      </c>
      <c r="N27" s="4" t="s">
        <v>62</v>
      </c>
    </row>
    <row r="28" spans="1:14" ht="22.65" customHeight="1" x14ac:dyDescent="0.45">
      <c r="A28" s="13" t="str">
        <f t="shared" si="0"/>
        <v>☐</v>
      </c>
      <c r="B28" s="14" t="s">
        <v>136</v>
      </c>
      <c r="C28" s="4" t="s">
        <v>35</v>
      </c>
      <c r="D28" s="4" t="s">
        <v>133</v>
      </c>
      <c r="E28" s="15" t="s">
        <v>137</v>
      </c>
      <c r="F28" s="15" t="s">
        <v>138</v>
      </c>
      <c r="G28" s="15" t="s">
        <v>18</v>
      </c>
      <c r="H28" s="4" t="s">
        <v>5</v>
      </c>
      <c r="I28" s="15" t="s">
        <v>6</v>
      </c>
      <c r="J28" s="4" t="s">
        <v>62</v>
      </c>
      <c r="K28" s="16" t="s">
        <v>0</v>
      </c>
      <c r="L28" s="16" t="s">
        <v>62</v>
      </c>
      <c r="M28" s="17" t="s">
        <v>62</v>
      </c>
      <c r="N28" s="4" t="s">
        <v>62</v>
      </c>
    </row>
    <row r="29" spans="1:14" ht="22.65" customHeight="1" x14ac:dyDescent="0.45">
      <c r="A29" s="13" t="str">
        <f t="shared" si="0"/>
        <v>☐</v>
      </c>
      <c r="B29" s="14" t="s">
        <v>139</v>
      </c>
      <c r="C29" s="4" t="s">
        <v>35</v>
      </c>
      <c r="D29" s="4" t="s">
        <v>39</v>
      </c>
      <c r="E29" s="15" t="s">
        <v>140</v>
      </c>
      <c r="F29" s="15" t="s">
        <v>141</v>
      </c>
      <c r="G29" s="15" t="s">
        <v>3</v>
      </c>
      <c r="H29" s="4" t="s">
        <v>1</v>
      </c>
      <c r="I29" s="15" t="s">
        <v>2</v>
      </c>
      <c r="J29" s="4" t="s">
        <v>62</v>
      </c>
      <c r="K29" s="16" t="s">
        <v>0</v>
      </c>
      <c r="L29" s="16" t="s">
        <v>62</v>
      </c>
      <c r="M29" s="17" t="s">
        <v>62</v>
      </c>
      <c r="N29" s="4" t="s">
        <v>62</v>
      </c>
    </row>
    <row r="30" spans="1:14" ht="22.65" customHeight="1" x14ac:dyDescent="0.45">
      <c r="A30" s="13" t="str">
        <f t="shared" si="0"/>
        <v>☐</v>
      </c>
      <c r="B30" s="14" t="s">
        <v>142</v>
      </c>
      <c r="C30" s="4" t="s">
        <v>35</v>
      </c>
      <c r="D30" s="4" t="s">
        <v>143</v>
      </c>
      <c r="E30" s="15" t="s">
        <v>144</v>
      </c>
      <c r="F30" s="15" t="s">
        <v>145</v>
      </c>
      <c r="G30" s="15" t="s">
        <v>7</v>
      </c>
      <c r="H30" s="4" t="s">
        <v>1</v>
      </c>
      <c r="I30" s="15" t="s">
        <v>6</v>
      </c>
      <c r="J30" s="4" t="s">
        <v>62</v>
      </c>
      <c r="K30" s="16" t="s">
        <v>0</v>
      </c>
      <c r="L30" s="16" t="s">
        <v>62</v>
      </c>
      <c r="M30" s="17" t="s">
        <v>62</v>
      </c>
      <c r="N30" s="4" t="s">
        <v>62</v>
      </c>
    </row>
    <row r="31" spans="1:14" ht="22.65" customHeight="1" x14ac:dyDescent="0.45">
      <c r="A31" s="13" t="str">
        <f t="shared" si="0"/>
        <v>☐</v>
      </c>
      <c r="B31" s="14" t="s">
        <v>146</v>
      </c>
      <c r="C31" s="4" t="s">
        <v>35</v>
      </c>
      <c r="D31" s="4" t="s">
        <v>143</v>
      </c>
      <c r="E31" s="15" t="s">
        <v>147</v>
      </c>
      <c r="F31" s="15" t="s">
        <v>148</v>
      </c>
      <c r="G31" s="15" t="s">
        <v>17</v>
      </c>
      <c r="H31" s="4" t="s">
        <v>5</v>
      </c>
      <c r="I31" s="15" t="s">
        <v>10</v>
      </c>
      <c r="J31" s="4" t="s">
        <v>62</v>
      </c>
      <c r="K31" s="16" t="s">
        <v>0</v>
      </c>
      <c r="L31" s="16" t="s">
        <v>62</v>
      </c>
      <c r="M31" s="17" t="s">
        <v>62</v>
      </c>
      <c r="N31" s="4" t="s">
        <v>62</v>
      </c>
    </row>
    <row r="32" spans="1:14" ht="22.65" customHeight="1" x14ac:dyDescent="0.45">
      <c r="A32" s="13" t="str">
        <f t="shared" si="0"/>
        <v>☐</v>
      </c>
      <c r="B32" s="14" t="s">
        <v>149</v>
      </c>
      <c r="C32" s="4" t="s">
        <v>35</v>
      </c>
      <c r="D32" s="4" t="s">
        <v>143</v>
      </c>
      <c r="E32" s="15" t="s">
        <v>150</v>
      </c>
      <c r="F32" s="15" t="s">
        <v>151</v>
      </c>
      <c r="G32" s="15" t="s">
        <v>18</v>
      </c>
      <c r="H32" s="4" t="s">
        <v>5</v>
      </c>
      <c r="I32" s="15" t="s">
        <v>10</v>
      </c>
      <c r="J32" s="4" t="s">
        <v>62</v>
      </c>
      <c r="K32" s="16" t="s">
        <v>0</v>
      </c>
      <c r="L32" s="16" t="s">
        <v>62</v>
      </c>
      <c r="M32" s="17" t="s">
        <v>62</v>
      </c>
      <c r="N32" s="4" t="s">
        <v>62</v>
      </c>
    </row>
    <row r="33" spans="1:14" ht="22.65" customHeight="1" x14ac:dyDescent="0.45">
      <c r="A33" s="13" t="str">
        <f t="shared" si="0"/>
        <v>☐</v>
      </c>
      <c r="B33" s="14" t="s">
        <v>152</v>
      </c>
      <c r="C33" s="4" t="s">
        <v>35</v>
      </c>
      <c r="D33" s="4" t="s">
        <v>153</v>
      </c>
      <c r="E33" s="15" t="s">
        <v>154</v>
      </c>
      <c r="F33" s="15" t="s">
        <v>155</v>
      </c>
      <c r="G33" s="15" t="s">
        <v>3</v>
      </c>
      <c r="H33" s="4" t="s">
        <v>5</v>
      </c>
      <c r="I33" s="15" t="s">
        <v>6</v>
      </c>
      <c r="J33" s="4" t="s">
        <v>62</v>
      </c>
      <c r="K33" s="16" t="s">
        <v>0</v>
      </c>
      <c r="L33" s="16" t="s">
        <v>62</v>
      </c>
      <c r="M33" s="17" t="s">
        <v>62</v>
      </c>
      <c r="N33" s="4" t="s">
        <v>62</v>
      </c>
    </row>
    <row r="34" spans="1:14" ht="22.65" customHeight="1" x14ac:dyDescent="0.45">
      <c r="A34" s="13" t="str">
        <f t="shared" si="0"/>
        <v>☐</v>
      </c>
      <c r="B34" s="14" t="s">
        <v>156</v>
      </c>
      <c r="C34" s="4" t="s">
        <v>35</v>
      </c>
      <c r="D34" s="4" t="s">
        <v>157</v>
      </c>
      <c r="E34" s="15" t="s">
        <v>158</v>
      </c>
      <c r="F34" s="15" t="s">
        <v>159</v>
      </c>
      <c r="G34" s="15" t="s">
        <v>18</v>
      </c>
      <c r="H34" s="4" t="s">
        <v>9</v>
      </c>
      <c r="I34" s="15" t="s">
        <v>10</v>
      </c>
      <c r="J34" s="4" t="s">
        <v>62</v>
      </c>
      <c r="K34" s="16" t="s">
        <v>0</v>
      </c>
      <c r="L34" s="16" t="s">
        <v>62</v>
      </c>
      <c r="M34" s="17" t="s">
        <v>62</v>
      </c>
      <c r="N34" s="4" t="s">
        <v>62</v>
      </c>
    </row>
    <row r="35" spans="1:14" ht="22.65" customHeight="1" x14ac:dyDescent="0.45">
      <c r="A35" s="13" t="str">
        <f t="shared" si="0"/>
        <v>☐</v>
      </c>
      <c r="B35" s="14" t="s">
        <v>160</v>
      </c>
      <c r="C35" s="4" t="s">
        <v>35</v>
      </c>
      <c r="D35" s="4" t="s">
        <v>157</v>
      </c>
      <c r="E35" s="15" t="s">
        <v>161</v>
      </c>
      <c r="F35" s="15" t="s">
        <v>162</v>
      </c>
      <c r="G35" s="15" t="s">
        <v>3</v>
      </c>
      <c r="H35" s="4" t="s">
        <v>5</v>
      </c>
      <c r="I35" s="15" t="s">
        <v>10</v>
      </c>
      <c r="J35" s="4" t="s">
        <v>62</v>
      </c>
      <c r="K35" s="16" t="s">
        <v>0</v>
      </c>
      <c r="L35" s="16" t="s">
        <v>62</v>
      </c>
      <c r="M35" s="17" t="s">
        <v>62</v>
      </c>
      <c r="N35" s="4" t="s">
        <v>62</v>
      </c>
    </row>
    <row r="36" spans="1:14" ht="22.65" customHeight="1" x14ac:dyDescent="0.45">
      <c r="A36" s="13" t="str">
        <f t="shared" si="0"/>
        <v>☐</v>
      </c>
      <c r="B36" s="14" t="s">
        <v>163</v>
      </c>
      <c r="C36" s="4" t="s">
        <v>35</v>
      </c>
      <c r="D36" s="4" t="s">
        <v>157</v>
      </c>
      <c r="E36" s="15" t="s">
        <v>164</v>
      </c>
      <c r="F36" s="15" t="s">
        <v>165</v>
      </c>
      <c r="G36" s="15" t="s">
        <v>3</v>
      </c>
      <c r="H36" s="4" t="s">
        <v>9</v>
      </c>
      <c r="I36" s="15" t="s">
        <v>6</v>
      </c>
      <c r="J36" s="4" t="s">
        <v>62</v>
      </c>
      <c r="K36" s="16" t="s">
        <v>0</v>
      </c>
      <c r="L36" s="16" t="s">
        <v>62</v>
      </c>
      <c r="M36" s="17" t="s">
        <v>62</v>
      </c>
      <c r="N36" s="4" t="s">
        <v>62</v>
      </c>
    </row>
    <row r="37" spans="1:14" ht="22.65" customHeight="1" x14ac:dyDescent="0.45">
      <c r="A37" s="13" t="str">
        <f t="shared" si="0"/>
        <v>☐</v>
      </c>
      <c r="B37" s="14" t="s">
        <v>166</v>
      </c>
      <c r="C37" s="4" t="s">
        <v>35</v>
      </c>
      <c r="D37" s="4" t="s">
        <v>167</v>
      </c>
      <c r="E37" s="15" t="s">
        <v>168</v>
      </c>
      <c r="F37" s="15" t="s">
        <v>169</v>
      </c>
      <c r="G37" s="15" t="s">
        <v>3</v>
      </c>
      <c r="H37" s="4" t="s">
        <v>9</v>
      </c>
      <c r="I37" s="15" t="s">
        <v>14</v>
      </c>
      <c r="J37" s="4" t="s">
        <v>62</v>
      </c>
      <c r="K37" s="16" t="s">
        <v>0</v>
      </c>
      <c r="L37" s="16" t="s">
        <v>62</v>
      </c>
      <c r="M37" s="17" t="s">
        <v>62</v>
      </c>
      <c r="N37" s="4" t="s">
        <v>62</v>
      </c>
    </row>
    <row r="38" spans="1:14" ht="22.65" customHeight="1" x14ac:dyDescent="0.45">
      <c r="A38" s="13" t="str">
        <f t="shared" ref="A38:A69" si="1">IF(K38="Done","☑","☐")</f>
        <v>☐</v>
      </c>
      <c r="B38" s="14" t="s">
        <v>170</v>
      </c>
      <c r="C38" s="4" t="s">
        <v>36</v>
      </c>
      <c r="D38" s="4" t="s">
        <v>171</v>
      </c>
      <c r="E38" s="15" t="s">
        <v>172</v>
      </c>
      <c r="F38" s="15" t="s">
        <v>173</v>
      </c>
      <c r="G38" s="15" t="s">
        <v>3</v>
      </c>
      <c r="H38" s="4" t="s">
        <v>1</v>
      </c>
      <c r="I38" s="15" t="s">
        <v>6</v>
      </c>
      <c r="J38" s="4" t="s">
        <v>62</v>
      </c>
      <c r="K38" s="16" t="s">
        <v>0</v>
      </c>
      <c r="L38" s="16" t="s">
        <v>62</v>
      </c>
      <c r="M38" s="17" t="s">
        <v>62</v>
      </c>
      <c r="N38" s="4" t="s">
        <v>62</v>
      </c>
    </row>
    <row r="39" spans="1:14" ht="22.65" customHeight="1" x14ac:dyDescent="0.45">
      <c r="A39" s="13" t="str">
        <f t="shared" si="1"/>
        <v>☐</v>
      </c>
      <c r="B39" s="14" t="s">
        <v>174</v>
      </c>
      <c r="C39" s="4" t="s">
        <v>36</v>
      </c>
      <c r="D39" s="4" t="s">
        <v>171</v>
      </c>
      <c r="E39" s="15" t="s">
        <v>175</v>
      </c>
      <c r="F39" s="15" t="s">
        <v>176</v>
      </c>
      <c r="G39" s="15" t="s">
        <v>3</v>
      </c>
      <c r="H39" s="4" t="s">
        <v>1</v>
      </c>
      <c r="I39" s="15" t="s">
        <v>6</v>
      </c>
      <c r="J39" s="4" t="s">
        <v>62</v>
      </c>
      <c r="K39" s="16" t="s">
        <v>0</v>
      </c>
      <c r="L39" s="16" t="s">
        <v>62</v>
      </c>
      <c r="M39" s="17" t="s">
        <v>62</v>
      </c>
      <c r="N39" s="4" t="s">
        <v>62</v>
      </c>
    </row>
    <row r="40" spans="1:14" ht="22.65" customHeight="1" x14ac:dyDescent="0.45">
      <c r="A40" s="13" t="str">
        <f t="shared" si="1"/>
        <v>☐</v>
      </c>
      <c r="B40" s="14" t="s">
        <v>177</v>
      </c>
      <c r="C40" s="4" t="s">
        <v>36</v>
      </c>
      <c r="D40" s="4" t="s">
        <v>178</v>
      </c>
      <c r="E40" s="15" t="s">
        <v>179</v>
      </c>
      <c r="F40" s="15" t="s">
        <v>180</v>
      </c>
      <c r="G40" s="15" t="s">
        <v>3</v>
      </c>
      <c r="H40" s="4" t="s">
        <v>1</v>
      </c>
      <c r="I40" s="15" t="s">
        <v>6</v>
      </c>
      <c r="J40" s="4" t="s">
        <v>62</v>
      </c>
      <c r="K40" s="16" t="s">
        <v>0</v>
      </c>
      <c r="L40" s="16" t="s">
        <v>62</v>
      </c>
      <c r="M40" s="17" t="s">
        <v>62</v>
      </c>
      <c r="N40" s="4" t="s">
        <v>62</v>
      </c>
    </row>
    <row r="41" spans="1:14" ht="22.65" customHeight="1" x14ac:dyDescent="0.45">
      <c r="A41" s="13" t="str">
        <f t="shared" si="1"/>
        <v>☐</v>
      </c>
      <c r="B41" s="14" t="s">
        <v>181</v>
      </c>
      <c r="C41" s="4" t="s">
        <v>36</v>
      </c>
      <c r="D41" s="4" t="s">
        <v>178</v>
      </c>
      <c r="E41" s="15" t="s">
        <v>182</v>
      </c>
      <c r="F41" s="15" t="s">
        <v>183</v>
      </c>
      <c r="G41" s="15" t="s">
        <v>18</v>
      </c>
      <c r="H41" s="4" t="s">
        <v>5</v>
      </c>
      <c r="I41" s="15" t="s">
        <v>6</v>
      </c>
      <c r="J41" s="4" t="s">
        <v>62</v>
      </c>
      <c r="K41" s="16" t="s">
        <v>0</v>
      </c>
      <c r="L41" s="16" t="s">
        <v>62</v>
      </c>
      <c r="M41" s="17" t="s">
        <v>62</v>
      </c>
      <c r="N41" s="4" t="s">
        <v>62</v>
      </c>
    </row>
    <row r="42" spans="1:14" ht="22.65" customHeight="1" x14ac:dyDescent="0.45">
      <c r="A42" s="13" t="str">
        <f t="shared" si="1"/>
        <v>☐</v>
      </c>
      <c r="B42" s="14" t="s">
        <v>184</v>
      </c>
      <c r="C42" s="4" t="s">
        <v>36</v>
      </c>
      <c r="D42" s="4" t="s">
        <v>185</v>
      </c>
      <c r="E42" s="15" t="s">
        <v>186</v>
      </c>
      <c r="F42" s="15" t="s">
        <v>187</v>
      </c>
      <c r="G42" s="15" t="s">
        <v>3</v>
      </c>
      <c r="H42" s="4" t="s">
        <v>5</v>
      </c>
      <c r="I42" s="15" t="s">
        <v>14</v>
      </c>
      <c r="J42" s="4" t="s">
        <v>62</v>
      </c>
      <c r="K42" s="16" t="s">
        <v>0</v>
      </c>
      <c r="L42" s="16" t="s">
        <v>62</v>
      </c>
      <c r="M42" s="17" t="s">
        <v>62</v>
      </c>
      <c r="N42" s="4" t="s">
        <v>62</v>
      </c>
    </row>
    <row r="43" spans="1:14" ht="22.65" customHeight="1" x14ac:dyDescent="0.45">
      <c r="A43" s="13" t="str">
        <f t="shared" si="1"/>
        <v>☐</v>
      </c>
      <c r="B43" s="14" t="s">
        <v>188</v>
      </c>
      <c r="C43" s="4" t="s">
        <v>36</v>
      </c>
      <c r="D43" s="4" t="s">
        <v>185</v>
      </c>
      <c r="E43" s="15" t="s">
        <v>189</v>
      </c>
      <c r="F43" s="15" t="s">
        <v>190</v>
      </c>
      <c r="G43" s="15" t="s">
        <v>7</v>
      </c>
      <c r="H43" s="4" t="s">
        <v>1</v>
      </c>
      <c r="I43" s="15" t="s">
        <v>6</v>
      </c>
      <c r="J43" s="4" t="s">
        <v>62</v>
      </c>
      <c r="K43" s="16" t="s">
        <v>0</v>
      </c>
      <c r="L43" s="16" t="s">
        <v>62</v>
      </c>
      <c r="M43" s="17" t="s">
        <v>62</v>
      </c>
      <c r="N43" s="4" t="s">
        <v>62</v>
      </c>
    </row>
    <row r="44" spans="1:14" ht="22.65" customHeight="1" x14ac:dyDescent="0.45">
      <c r="A44" s="13" t="str">
        <f t="shared" si="1"/>
        <v>☐</v>
      </c>
      <c r="B44" s="14" t="s">
        <v>191</v>
      </c>
      <c r="C44" s="4" t="s">
        <v>36</v>
      </c>
      <c r="D44" s="4" t="s">
        <v>153</v>
      </c>
      <c r="E44" s="15" t="s">
        <v>192</v>
      </c>
      <c r="F44" s="15" t="s">
        <v>193</v>
      </c>
      <c r="G44" s="15" t="s">
        <v>3</v>
      </c>
      <c r="H44" s="4" t="s">
        <v>5</v>
      </c>
      <c r="I44" s="15" t="s">
        <v>6</v>
      </c>
      <c r="J44" s="4" t="s">
        <v>62</v>
      </c>
      <c r="K44" s="16" t="s">
        <v>0</v>
      </c>
      <c r="L44" s="16" t="s">
        <v>62</v>
      </c>
      <c r="M44" s="17" t="s">
        <v>62</v>
      </c>
      <c r="N44" s="4" t="s">
        <v>62</v>
      </c>
    </row>
    <row r="45" spans="1:14" ht="22.65" customHeight="1" x14ac:dyDescent="0.45">
      <c r="A45" s="13" t="str">
        <f t="shared" si="1"/>
        <v>☐</v>
      </c>
      <c r="B45" s="14" t="s">
        <v>194</v>
      </c>
      <c r="C45" s="4" t="s">
        <v>36</v>
      </c>
      <c r="D45" s="4" t="s">
        <v>195</v>
      </c>
      <c r="E45" s="15" t="s">
        <v>196</v>
      </c>
      <c r="F45" s="15" t="s">
        <v>197</v>
      </c>
      <c r="G45" s="15" t="s">
        <v>3</v>
      </c>
      <c r="H45" s="4" t="s">
        <v>9</v>
      </c>
      <c r="I45" s="15" t="s">
        <v>6</v>
      </c>
      <c r="J45" s="4" t="s">
        <v>62</v>
      </c>
      <c r="K45" s="16" t="s">
        <v>0</v>
      </c>
      <c r="L45" s="16" t="s">
        <v>62</v>
      </c>
      <c r="M45" s="17" t="s">
        <v>62</v>
      </c>
      <c r="N45" s="4" t="s">
        <v>62</v>
      </c>
    </row>
    <row r="46" spans="1:14" ht="22.65" customHeight="1" x14ac:dyDescent="0.45">
      <c r="A46" s="13" t="str">
        <f t="shared" si="1"/>
        <v>☐</v>
      </c>
      <c r="B46" s="14" t="s">
        <v>198</v>
      </c>
      <c r="C46" s="4" t="s">
        <v>36</v>
      </c>
      <c r="D46" s="4" t="s">
        <v>195</v>
      </c>
      <c r="E46" s="15" t="s">
        <v>199</v>
      </c>
      <c r="F46" s="15" t="s">
        <v>200</v>
      </c>
      <c r="G46" s="15" t="s">
        <v>3</v>
      </c>
      <c r="H46" s="4" t="s">
        <v>1</v>
      </c>
      <c r="I46" s="15" t="s">
        <v>10</v>
      </c>
      <c r="J46" s="4" t="s">
        <v>62</v>
      </c>
      <c r="K46" s="16" t="s">
        <v>0</v>
      </c>
      <c r="L46" s="16" t="s">
        <v>62</v>
      </c>
      <c r="M46" s="17" t="s">
        <v>62</v>
      </c>
      <c r="N46" s="4" t="s">
        <v>62</v>
      </c>
    </row>
    <row r="47" spans="1:14" ht="22.65" customHeight="1" x14ac:dyDescent="0.45">
      <c r="A47" s="13" t="str">
        <f t="shared" si="1"/>
        <v>☐</v>
      </c>
      <c r="B47" s="14" t="s">
        <v>201</v>
      </c>
      <c r="C47" s="4" t="s">
        <v>36</v>
      </c>
      <c r="D47" s="4" t="s">
        <v>195</v>
      </c>
      <c r="E47" s="15" t="s">
        <v>202</v>
      </c>
      <c r="F47" s="15" t="s">
        <v>203</v>
      </c>
      <c r="G47" s="15" t="s">
        <v>3</v>
      </c>
      <c r="H47" s="4" t="s">
        <v>5</v>
      </c>
      <c r="I47" s="15" t="s">
        <v>6</v>
      </c>
      <c r="J47" s="4" t="s">
        <v>62</v>
      </c>
      <c r="K47" s="16" t="s">
        <v>0</v>
      </c>
      <c r="L47" s="16" t="s">
        <v>62</v>
      </c>
      <c r="M47" s="17" t="s">
        <v>62</v>
      </c>
      <c r="N47" s="4" t="s">
        <v>62</v>
      </c>
    </row>
    <row r="48" spans="1:14" ht="22.65" customHeight="1" x14ac:dyDescent="0.45">
      <c r="A48" s="13" t="str">
        <f t="shared" si="1"/>
        <v>☐</v>
      </c>
      <c r="B48" s="14" t="s">
        <v>204</v>
      </c>
      <c r="C48" s="4" t="s">
        <v>36</v>
      </c>
      <c r="D48" s="4" t="s">
        <v>205</v>
      </c>
      <c r="E48" s="15" t="s">
        <v>206</v>
      </c>
      <c r="F48" s="15" t="s">
        <v>207</v>
      </c>
      <c r="G48" s="15" t="s">
        <v>3</v>
      </c>
      <c r="H48" s="4" t="s">
        <v>5</v>
      </c>
      <c r="I48" s="15" t="s">
        <v>6</v>
      </c>
      <c r="J48" s="4" t="s">
        <v>62</v>
      </c>
      <c r="K48" s="16" t="s">
        <v>0</v>
      </c>
      <c r="L48" s="16" t="s">
        <v>62</v>
      </c>
      <c r="M48" s="17" t="s">
        <v>62</v>
      </c>
      <c r="N48" s="4" t="s">
        <v>62</v>
      </c>
    </row>
    <row r="49" spans="1:14" ht="22.65" customHeight="1" x14ac:dyDescent="0.45">
      <c r="A49" s="13" t="str">
        <f t="shared" si="1"/>
        <v>☐</v>
      </c>
      <c r="B49" s="14" t="s">
        <v>208</v>
      </c>
      <c r="C49" s="4" t="s">
        <v>36</v>
      </c>
      <c r="D49" s="4" t="s">
        <v>209</v>
      </c>
      <c r="E49" s="15" t="s">
        <v>210</v>
      </c>
      <c r="F49" s="15" t="s">
        <v>211</v>
      </c>
      <c r="G49" s="15" t="s">
        <v>18</v>
      </c>
      <c r="H49" s="4" t="s">
        <v>5</v>
      </c>
      <c r="I49" s="15" t="s">
        <v>6</v>
      </c>
      <c r="J49" s="4" t="s">
        <v>62</v>
      </c>
      <c r="K49" s="16" t="s">
        <v>0</v>
      </c>
      <c r="L49" s="16" t="s">
        <v>62</v>
      </c>
      <c r="M49" s="17" t="s">
        <v>62</v>
      </c>
      <c r="N49" s="4" t="s">
        <v>62</v>
      </c>
    </row>
    <row r="50" spans="1:14" ht="22.65" customHeight="1" x14ac:dyDescent="0.45">
      <c r="A50" s="13" t="str">
        <f t="shared" si="1"/>
        <v>☐</v>
      </c>
      <c r="B50" s="14" t="s">
        <v>212</v>
      </c>
      <c r="C50" s="4" t="s">
        <v>36</v>
      </c>
      <c r="D50" s="4" t="s">
        <v>209</v>
      </c>
      <c r="E50" s="15" t="s">
        <v>213</v>
      </c>
      <c r="F50" s="15" t="s">
        <v>214</v>
      </c>
      <c r="G50" s="15" t="s">
        <v>17</v>
      </c>
      <c r="H50" s="4" t="s">
        <v>9</v>
      </c>
      <c r="I50" s="15" t="s">
        <v>10</v>
      </c>
      <c r="J50" s="4" t="s">
        <v>62</v>
      </c>
      <c r="K50" s="16" t="s">
        <v>0</v>
      </c>
      <c r="L50" s="16" t="s">
        <v>62</v>
      </c>
      <c r="M50" s="17" t="s">
        <v>62</v>
      </c>
      <c r="N50" s="4" t="s">
        <v>62</v>
      </c>
    </row>
    <row r="51" spans="1:14" ht="22.65" customHeight="1" x14ac:dyDescent="0.45">
      <c r="A51" s="13" t="str">
        <f t="shared" si="1"/>
        <v>☐</v>
      </c>
      <c r="B51" s="14" t="s">
        <v>215</v>
      </c>
      <c r="C51" s="4" t="s">
        <v>36</v>
      </c>
      <c r="D51" s="4" t="s">
        <v>167</v>
      </c>
      <c r="E51" s="15" t="s">
        <v>216</v>
      </c>
      <c r="F51" s="15" t="s">
        <v>217</v>
      </c>
      <c r="G51" s="15" t="s">
        <v>3</v>
      </c>
      <c r="H51" s="4" t="s">
        <v>9</v>
      </c>
      <c r="I51" s="15" t="s">
        <v>14</v>
      </c>
      <c r="J51" s="4" t="s">
        <v>62</v>
      </c>
      <c r="K51" s="16" t="s">
        <v>0</v>
      </c>
      <c r="L51" s="16" t="s">
        <v>62</v>
      </c>
      <c r="M51" s="17" t="s">
        <v>62</v>
      </c>
      <c r="N51" s="4" t="s">
        <v>62</v>
      </c>
    </row>
    <row r="52" spans="1:14" ht="22.65" customHeight="1" x14ac:dyDescent="0.45">
      <c r="A52" s="13" t="str">
        <f t="shared" si="1"/>
        <v>☐</v>
      </c>
      <c r="B52" s="14" t="s">
        <v>218</v>
      </c>
      <c r="C52" s="4" t="s">
        <v>37</v>
      </c>
      <c r="D52" s="4" t="s">
        <v>219</v>
      </c>
      <c r="E52" s="15" t="s">
        <v>220</v>
      </c>
      <c r="F52" s="15" t="s">
        <v>221</v>
      </c>
      <c r="G52" s="15" t="s">
        <v>3</v>
      </c>
      <c r="H52" s="4" t="s">
        <v>1</v>
      </c>
      <c r="I52" s="15" t="s">
        <v>2</v>
      </c>
      <c r="J52" s="4" t="s">
        <v>62</v>
      </c>
      <c r="K52" s="16" t="s">
        <v>0</v>
      </c>
      <c r="L52" s="16" t="s">
        <v>62</v>
      </c>
      <c r="M52" s="17" t="s">
        <v>62</v>
      </c>
      <c r="N52" s="4" t="s">
        <v>62</v>
      </c>
    </row>
    <row r="53" spans="1:14" ht="22.65" customHeight="1" x14ac:dyDescent="0.45">
      <c r="A53" s="13" t="str">
        <f t="shared" si="1"/>
        <v>☐</v>
      </c>
      <c r="B53" s="14" t="s">
        <v>222</v>
      </c>
      <c r="C53" s="4" t="s">
        <v>37</v>
      </c>
      <c r="D53" s="4" t="s">
        <v>219</v>
      </c>
      <c r="E53" s="15" t="s">
        <v>223</v>
      </c>
      <c r="F53" s="15" t="s">
        <v>224</v>
      </c>
      <c r="G53" s="15" t="s">
        <v>7</v>
      </c>
      <c r="H53" s="4" t="s">
        <v>1</v>
      </c>
      <c r="I53" s="15" t="s">
        <v>2</v>
      </c>
      <c r="J53" s="4" t="s">
        <v>62</v>
      </c>
      <c r="K53" s="16" t="s">
        <v>0</v>
      </c>
      <c r="L53" s="16" t="s">
        <v>62</v>
      </c>
      <c r="M53" s="17" t="s">
        <v>62</v>
      </c>
      <c r="N53" s="4" t="s">
        <v>62</v>
      </c>
    </row>
    <row r="54" spans="1:14" ht="22.65" customHeight="1" x14ac:dyDescent="0.45">
      <c r="A54" s="13" t="str">
        <f t="shared" si="1"/>
        <v>☐</v>
      </c>
      <c r="B54" s="14" t="s">
        <v>225</v>
      </c>
      <c r="C54" s="4" t="s">
        <v>37</v>
      </c>
      <c r="D54" s="4" t="s">
        <v>219</v>
      </c>
      <c r="E54" s="15" t="s">
        <v>226</v>
      </c>
      <c r="F54" s="15" t="s">
        <v>227</v>
      </c>
      <c r="G54" s="15" t="s">
        <v>15</v>
      </c>
      <c r="H54" s="4" t="s">
        <v>5</v>
      </c>
      <c r="I54" s="15" t="s">
        <v>2</v>
      </c>
      <c r="J54" s="4" t="s">
        <v>62</v>
      </c>
      <c r="K54" s="16" t="s">
        <v>0</v>
      </c>
      <c r="L54" s="16" t="s">
        <v>62</v>
      </c>
      <c r="M54" s="17" t="s">
        <v>62</v>
      </c>
      <c r="N54" s="4" t="s">
        <v>62</v>
      </c>
    </row>
    <row r="55" spans="1:14" ht="22.65" customHeight="1" x14ac:dyDescent="0.45">
      <c r="A55" s="13" t="str">
        <f t="shared" si="1"/>
        <v>☐</v>
      </c>
      <c r="B55" s="14" t="s">
        <v>228</v>
      </c>
      <c r="C55" s="4" t="s">
        <v>37</v>
      </c>
      <c r="D55" s="4" t="s">
        <v>219</v>
      </c>
      <c r="E55" s="15" t="s">
        <v>229</v>
      </c>
      <c r="F55" s="15" t="s">
        <v>230</v>
      </c>
      <c r="G55" s="15" t="s">
        <v>11</v>
      </c>
      <c r="H55" s="4" t="s">
        <v>5</v>
      </c>
      <c r="I55" s="15" t="s">
        <v>2</v>
      </c>
      <c r="J55" s="4" t="s">
        <v>62</v>
      </c>
      <c r="K55" s="16" t="s">
        <v>0</v>
      </c>
      <c r="L55" s="16" t="s">
        <v>62</v>
      </c>
      <c r="M55" s="17" t="s">
        <v>62</v>
      </c>
      <c r="N55" s="4" t="s">
        <v>62</v>
      </c>
    </row>
    <row r="56" spans="1:14" ht="22.65" customHeight="1" x14ac:dyDescent="0.45">
      <c r="A56" s="13" t="str">
        <f t="shared" si="1"/>
        <v>☐</v>
      </c>
      <c r="B56" s="14" t="s">
        <v>231</v>
      </c>
      <c r="C56" s="4" t="s">
        <v>37</v>
      </c>
      <c r="D56" s="4" t="s">
        <v>219</v>
      </c>
      <c r="E56" s="15" t="s">
        <v>232</v>
      </c>
      <c r="F56" s="15" t="s">
        <v>233</v>
      </c>
      <c r="G56" s="15" t="s">
        <v>17</v>
      </c>
      <c r="H56" s="4" t="s">
        <v>1</v>
      </c>
      <c r="I56" s="15" t="s">
        <v>2</v>
      </c>
      <c r="J56" s="4" t="s">
        <v>62</v>
      </c>
      <c r="K56" s="16" t="s">
        <v>0</v>
      </c>
      <c r="L56" s="16" t="s">
        <v>62</v>
      </c>
      <c r="M56" s="17" t="s">
        <v>62</v>
      </c>
      <c r="N56" s="4" t="s">
        <v>62</v>
      </c>
    </row>
    <row r="57" spans="1:14" ht="22.65" customHeight="1" x14ac:dyDescent="0.45">
      <c r="A57" s="13" t="str">
        <f t="shared" si="1"/>
        <v>☐</v>
      </c>
      <c r="B57" s="14" t="s">
        <v>234</v>
      </c>
      <c r="C57" s="4" t="s">
        <v>37</v>
      </c>
      <c r="D57" s="4" t="s">
        <v>77</v>
      </c>
      <c r="E57" s="15" t="s">
        <v>235</v>
      </c>
      <c r="F57" s="15" t="s">
        <v>236</v>
      </c>
      <c r="G57" s="15" t="s">
        <v>3</v>
      </c>
      <c r="H57" s="4" t="s">
        <v>1</v>
      </c>
      <c r="I57" s="15" t="s">
        <v>6</v>
      </c>
      <c r="J57" s="4" t="s">
        <v>62</v>
      </c>
      <c r="K57" s="16" t="s">
        <v>0</v>
      </c>
      <c r="L57" s="16" t="s">
        <v>62</v>
      </c>
      <c r="M57" s="17" t="s">
        <v>62</v>
      </c>
      <c r="N57" s="4" t="s">
        <v>62</v>
      </c>
    </row>
    <row r="58" spans="1:14" ht="22.65" customHeight="1" x14ac:dyDescent="0.45">
      <c r="A58" s="13" t="str">
        <f t="shared" si="1"/>
        <v>☐</v>
      </c>
      <c r="B58" s="14" t="s">
        <v>237</v>
      </c>
      <c r="C58" s="4" t="s">
        <v>37</v>
      </c>
      <c r="D58" s="4" t="s">
        <v>77</v>
      </c>
      <c r="E58" s="15" t="s">
        <v>238</v>
      </c>
      <c r="F58" s="15" t="s">
        <v>239</v>
      </c>
      <c r="G58" s="15" t="s">
        <v>18</v>
      </c>
      <c r="H58" s="4" t="s">
        <v>5</v>
      </c>
      <c r="I58" s="15" t="s">
        <v>6</v>
      </c>
      <c r="J58" s="4" t="s">
        <v>62</v>
      </c>
      <c r="K58" s="16" t="s">
        <v>0</v>
      </c>
      <c r="L58" s="16" t="s">
        <v>62</v>
      </c>
      <c r="M58" s="17" t="s">
        <v>62</v>
      </c>
      <c r="N58" s="4" t="s">
        <v>62</v>
      </c>
    </row>
    <row r="59" spans="1:14" ht="22.65" customHeight="1" x14ac:dyDescent="0.45">
      <c r="A59" s="13" t="str">
        <f t="shared" si="1"/>
        <v>☐</v>
      </c>
      <c r="B59" s="14" t="s">
        <v>240</v>
      </c>
      <c r="C59" s="4" t="s">
        <v>37</v>
      </c>
      <c r="D59" s="4" t="s">
        <v>241</v>
      </c>
      <c r="E59" s="15" t="s">
        <v>242</v>
      </c>
      <c r="F59" s="15" t="s">
        <v>243</v>
      </c>
      <c r="G59" s="15" t="s">
        <v>18</v>
      </c>
      <c r="H59" s="4" t="s">
        <v>5</v>
      </c>
      <c r="I59" s="15" t="s">
        <v>10</v>
      </c>
      <c r="J59" s="4" t="s">
        <v>62</v>
      </c>
      <c r="K59" s="16" t="s">
        <v>0</v>
      </c>
      <c r="L59" s="16" t="s">
        <v>62</v>
      </c>
      <c r="M59" s="17" t="s">
        <v>62</v>
      </c>
      <c r="N59" s="4" t="s">
        <v>62</v>
      </c>
    </row>
    <row r="60" spans="1:14" ht="22.65" customHeight="1" x14ac:dyDescent="0.45">
      <c r="A60" s="13" t="str">
        <f t="shared" si="1"/>
        <v>☐</v>
      </c>
      <c r="B60" s="14" t="s">
        <v>244</v>
      </c>
      <c r="C60" s="4" t="s">
        <v>37</v>
      </c>
      <c r="D60" s="4" t="s">
        <v>241</v>
      </c>
      <c r="E60" s="15" t="s">
        <v>245</v>
      </c>
      <c r="F60" s="15" t="s">
        <v>246</v>
      </c>
      <c r="G60" s="15" t="s">
        <v>7</v>
      </c>
      <c r="H60" s="4" t="s">
        <v>1</v>
      </c>
      <c r="I60" s="15" t="s">
        <v>10</v>
      </c>
      <c r="J60" s="4" t="s">
        <v>62</v>
      </c>
      <c r="K60" s="16" t="s">
        <v>0</v>
      </c>
      <c r="L60" s="16" t="s">
        <v>62</v>
      </c>
      <c r="M60" s="17" t="s">
        <v>62</v>
      </c>
      <c r="N60" s="4" t="s">
        <v>62</v>
      </c>
    </row>
    <row r="61" spans="1:14" ht="22.65" customHeight="1" x14ac:dyDescent="0.45">
      <c r="A61" s="13" t="str">
        <f t="shared" si="1"/>
        <v>☐</v>
      </c>
      <c r="B61" s="14" t="s">
        <v>247</v>
      </c>
      <c r="C61" s="4" t="s">
        <v>37</v>
      </c>
      <c r="D61" s="4" t="s">
        <v>241</v>
      </c>
      <c r="E61" s="15" t="s">
        <v>248</v>
      </c>
      <c r="F61" s="15" t="s">
        <v>249</v>
      </c>
      <c r="G61" s="15" t="s">
        <v>3</v>
      </c>
      <c r="H61" s="4" t="s">
        <v>5</v>
      </c>
      <c r="I61" s="15" t="s">
        <v>6</v>
      </c>
      <c r="J61" s="4" t="s">
        <v>62</v>
      </c>
      <c r="K61" s="16" t="s">
        <v>0</v>
      </c>
      <c r="L61" s="16" t="s">
        <v>62</v>
      </c>
      <c r="M61" s="17" t="s">
        <v>62</v>
      </c>
      <c r="N61" s="4" t="s">
        <v>62</v>
      </c>
    </row>
    <row r="62" spans="1:14" ht="22.65" customHeight="1" x14ac:dyDescent="0.45">
      <c r="A62" s="13" t="str">
        <f t="shared" si="1"/>
        <v>☐</v>
      </c>
      <c r="B62" s="14" t="s">
        <v>250</v>
      </c>
      <c r="C62" s="4" t="s">
        <v>37</v>
      </c>
      <c r="D62" s="4" t="s">
        <v>39</v>
      </c>
      <c r="E62" s="15" t="s">
        <v>251</v>
      </c>
      <c r="F62" s="15" t="s">
        <v>252</v>
      </c>
      <c r="G62" s="15" t="s">
        <v>3</v>
      </c>
      <c r="H62" s="4" t="s">
        <v>1</v>
      </c>
      <c r="I62" s="15" t="s">
        <v>2</v>
      </c>
      <c r="J62" s="4" t="s">
        <v>62</v>
      </c>
      <c r="K62" s="16" t="s">
        <v>0</v>
      </c>
      <c r="L62" s="16" t="s">
        <v>62</v>
      </c>
      <c r="M62" s="17" t="s">
        <v>62</v>
      </c>
      <c r="N62" s="4" t="s">
        <v>62</v>
      </c>
    </row>
    <row r="63" spans="1:14" ht="22.65" customHeight="1" x14ac:dyDescent="0.45">
      <c r="A63" s="13" t="str">
        <f t="shared" si="1"/>
        <v>☐</v>
      </c>
      <c r="B63" s="14" t="s">
        <v>253</v>
      </c>
      <c r="C63" s="4" t="s">
        <v>37</v>
      </c>
      <c r="D63" s="4" t="s">
        <v>39</v>
      </c>
      <c r="E63" s="15" t="s">
        <v>254</v>
      </c>
      <c r="F63" s="15" t="s">
        <v>255</v>
      </c>
      <c r="G63" s="15" t="s">
        <v>15</v>
      </c>
      <c r="H63" s="4" t="s">
        <v>9</v>
      </c>
      <c r="I63" s="15" t="s">
        <v>10</v>
      </c>
      <c r="J63" s="4" t="s">
        <v>62</v>
      </c>
      <c r="K63" s="16" t="s">
        <v>0</v>
      </c>
      <c r="L63" s="16" t="s">
        <v>62</v>
      </c>
      <c r="M63" s="17" t="s">
        <v>62</v>
      </c>
      <c r="N63" s="4" t="s">
        <v>62</v>
      </c>
    </row>
    <row r="64" spans="1:14" ht="22.65" customHeight="1" x14ac:dyDescent="0.45">
      <c r="A64" s="13" t="str">
        <f t="shared" si="1"/>
        <v>☐</v>
      </c>
      <c r="B64" s="14" t="s">
        <v>256</v>
      </c>
      <c r="C64" s="4" t="s">
        <v>37</v>
      </c>
      <c r="D64" s="4" t="s">
        <v>257</v>
      </c>
      <c r="E64" s="15" t="s">
        <v>258</v>
      </c>
      <c r="F64" s="15" t="s">
        <v>259</v>
      </c>
      <c r="G64" s="15" t="s">
        <v>11</v>
      </c>
      <c r="H64" s="4" t="s">
        <v>5</v>
      </c>
      <c r="I64" s="15" t="s">
        <v>14</v>
      </c>
      <c r="J64" s="4" t="s">
        <v>62</v>
      </c>
      <c r="K64" s="16" t="s">
        <v>0</v>
      </c>
      <c r="L64" s="16" t="s">
        <v>62</v>
      </c>
      <c r="M64" s="17" t="s">
        <v>62</v>
      </c>
      <c r="N64" s="4" t="s">
        <v>62</v>
      </c>
    </row>
    <row r="65" spans="1:14" ht="22.65" customHeight="1" x14ac:dyDescent="0.45">
      <c r="A65" s="13" t="str">
        <f t="shared" si="1"/>
        <v>☐</v>
      </c>
      <c r="B65" s="14" t="s">
        <v>260</v>
      </c>
      <c r="C65" s="4" t="s">
        <v>37</v>
      </c>
      <c r="D65" s="4" t="s">
        <v>261</v>
      </c>
      <c r="E65" s="15" t="s">
        <v>262</v>
      </c>
      <c r="F65" s="15" t="s">
        <v>263</v>
      </c>
      <c r="G65" s="15" t="s">
        <v>18</v>
      </c>
      <c r="H65" s="4" t="s">
        <v>9</v>
      </c>
      <c r="I65" s="15" t="s">
        <v>10</v>
      </c>
      <c r="J65" s="4" t="s">
        <v>62</v>
      </c>
      <c r="K65" s="16" t="s">
        <v>0</v>
      </c>
      <c r="L65" s="16" t="s">
        <v>62</v>
      </c>
      <c r="M65" s="17" t="s">
        <v>62</v>
      </c>
      <c r="N65" s="4" t="s">
        <v>62</v>
      </c>
    </row>
    <row r="66" spans="1:14" ht="22.65" customHeight="1" x14ac:dyDescent="0.45">
      <c r="A66" s="13" t="str">
        <f t="shared" si="1"/>
        <v>☐</v>
      </c>
      <c r="B66" s="14" t="s">
        <v>264</v>
      </c>
      <c r="C66" s="4" t="s">
        <v>37</v>
      </c>
      <c r="D66" s="4" t="s">
        <v>167</v>
      </c>
      <c r="E66" s="15" t="s">
        <v>265</v>
      </c>
      <c r="F66" s="15" t="s">
        <v>266</v>
      </c>
      <c r="G66" s="15" t="s">
        <v>3</v>
      </c>
      <c r="H66" s="4" t="s">
        <v>9</v>
      </c>
      <c r="I66" s="15" t="s">
        <v>14</v>
      </c>
      <c r="J66" s="4" t="s">
        <v>62</v>
      </c>
      <c r="K66" s="16" t="s">
        <v>0</v>
      </c>
      <c r="L66" s="16" t="s">
        <v>62</v>
      </c>
      <c r="M66" s="17" t="s">
        <v>62</v>
      </c>
      <c r="N66" s="4" t="s">
        <v>62</v>
      </c>
    </row>
    <row r="67" spans="1:14" ht="22.65" customHeight="1" x14ac:dyDescent="0.45">
      <c r="A67" s="13" t="str">
        <f t="shared" si="1"/>
        <v>☐</v>
      </c>
      <c r="B67" s="14" t="s">
        <v>267</v>
      </c>
      <c r="C67" s="4" t="s">
        <v>38</v>
      </c>
      <c r="D67" s="4" t="s">
        <v>268</v>
      </c>
      <c r="E67" s="15" t="s">
        <v>269</v>
      </c>
      <c r="F67" s="15" t="s">
        <v>270</v>
      </c>
      <c r="G67" s="15" t="s">
        <v>3</v>
      </c>
      <c r="H67" s="4" t="s">
        <v>1</v>
      </c>
      <c r="I67" s="15" t="s">
        <v>6</v>
      </c>
      <c r="J67" s="4" t="s">
        <v>62</v>
      </c>
      <c r="K67" s="16" t="s">
        <v>0</v>
      </c>
      <c r="L67" s="16" t="s">
        <v>62</v>
      </c>
      <c r="M67" s="17" t="s">
        <v>62</v>
      </c>
      <c r="N67" s="4" t="s">
        <v>62</v>
      </c>
    </row>
    <row r="68" spans="1:14" ht="22.65" customHeight="1" x14ac:dyDescent="0.45">
      <c r="A68" s="13" t="str">
        <f t="shared" si="1"/>
        <v>☐</v>
      </c>
      <c r="B68" s="14" t="s">
        <v>271</v>
      </c>
      <c r="C68" s="4" t="s">
        <v>38</v>
      </c>
      <c r="D68" s="4" t="s">
        <v>268</v>
      </c>
      <c r="E68" s="15" t="s">
        <v>272</v>
      </c>
      <c r="F68" s="15" t="s">
        <v>273</v>
      </c>
      <c r="G68" s="15" t="s">
        <v>3</v>
      </c>
      <c r="H68" s="4" t="s">
        <v>1</v>
      </c>
      <c r="I68" s="15" t="s">
        <v>10</v>
      </c>
      <c r="J68" s="4" t="s">
        <v>62</v>
      </c>
      <c r="K68" s="16" t="s">
        <v>0</v>
      </c>
      <c r="L68" s="16" t="s">
        <v>62</v>
      </c>
      <c r="M68" s="17" t="s">
        <v>62</v>
      </c>
      <c r="N68" s="4" t="s">
        <v>62</v>
      </c>
    </row>
    <row r="69" spans="1:14" ht="22.65" customHeight="1" x14ac:dyDescent="0.45">
      <c r="A69" s="13" t="str">
        <f t="shared" si="1"/>
        <v>☐</v>
      </c>
      <c r="B69" s="14" t="s">
        <v>274</v>
      </c>
      <c r="C69" s="4" t="s">
        <v>38</v>
      </c>
      <c r="D69" s="4" t="s">
        <v>275</v>
      </c>
      <c r="E69" s="15" t="s">
        <v>276</v>
      </c>
      <c r="F69" s="15" t="s">
        <v>277</v>
      </c>
      <c r="G69" s="15" t="s">
        <v>15</v>
      </c>
      <c r="H69" s="4" t="s">
        <v>1</v>
      </c>
      <c r="I69" s="15" t="s">
        <v>10</v>
      </c>
      <c r="J69" s="4" t="s">
        <v>62</v>
      </c>
      <c r="K69" s="16" t="s">
        <v>0</v>
      </c>
      <c r="L69" s="16" t="s">
        <v>62</v>
      </c>
      <c r="M69" s="17" t="s">
        <v>62</v>
      </c>
      <c r="N69" s="4" t="s">
        <v>62</v>
      </c>
    </row>
    <row r="70" spans="1:14" ht="22.65" customHeight="1" x14ac:dyDescent="0.45">
      <c r="A70" s="13" t="str">
        <f t="shared" ref="A70:A101" si="2">IF(K70="Done","☑","☐")</f>
        <v>☐</v>
      </c>
      <c r="B70" s="14" t="s">
        <v>278</v>
      </c>
      <c r="C70" s="4" t="s">
        <v>38</v>
      </c>
      <c r="D70" s="4" t="s">
        <v>275</v>
      </c>
      <c r="E70" s="15" t="s">
        <v>279</v>
      </c>
      <c r="F70" s="15" t="s">
        <v>280</v>
      </c>
      <c r="G70" s="15" t="s">
        <v>11</v>
      </c>
      <c r="H70" s="4" t="s">
        <v>1</v>
      </c>
      <c r="I70" s="15" t="s">
        <v>10</v>
      </c>
      <c r="J70" s="4" t="s">
        <v>62</v>
      </c>
      <c r="K70" s="16" t="s">
        <v>0</v>
      </c>
      <c r="L70" s="16" t="s">
        <v>62</v>
      </c>
      <c r="M70" s="17" t="s">
        <v>62</v>
      </c>
      <c r="N70" s="4" t="s">
        <v>62</v>
      </c>
    </row>
    <row r="71" spans="1:14" ht="22.65" customHeight="1" x14ac:dyDescent="0.45">
      <c r="A71" s="13" t="str">
        <f t="shared" si="2"/>
        <v>☐</v>
      </c>
      <c r="B71" s="14" t="s">
        <v>281</v>
      </c>
      <c r="C71" s="4" t="s">
        <v>38</v>
      </c>
      <c r="D71" s="4" t="s">
        <v>275</v>
      </c>
      <c r="E71" s="15" t="s">
        <v>282</v>
      </c>
      <c r="F71" s="15" t="s">
        <v>283</v>
      </c>
      <c r="G71" s="15" t="s">
        <v>17</v>
      </c>
      <c r="H71" s="4" t="s">
        <v>5</v>
      </c>
      <c r="I71" s="15" t="s">
        <v>10</v>
      </c>
      <c r="J71" s="4" t="s">
        <v>62</v>
      </c>
      <c r="K71" s="16" t="s">
        <v>0</v>
      </c>
      <c r="L71" s="16" t="s">
        <v>62</v>
      </c>
      <c r="M71" s="17" t="s">
        <v>62</v>
      </c>
      <c r="N71" s="4" t="s">
        <v>62</v>
      </c>
    </row>
    <row r="72" spans="1:14" ht="22.65" customHeight="1" x14ac:dyDescent="0.45">
      <c r="A72" s="13" t="str">
        <f t="shared" si="2"/>
        <v>☐</v>
      </c>
      <c r="B72" s="14" t="s">
        <v>284</v>
      </c>
      <c r="C72" s="4" t="s">
        <v>38</v>
      </c>
      <c r="D72" s="4" t="s">
        <v>285</v>
      </c>
      <c r="E72" s="15" t="s">
        <v>286</v>
      </c>
      <c r="F72" s="15" t="s">
        <v>287</v>
      </c>
      <c r="G72" s="15" t="s">
        <v>7</v>
      </c>
      <c r="H72" s="4" t="s">
        <v>1</v>
      </c>
      <c r="I72" s="15" t="s">
        <v>10</v>
      </c>
      <c r="J72" s="4" t="s">
        <v>62</v>
      </c>
      <c r="K72" s="16" t="s">
        <v>0</v>
      </c>
      <c r="L72" s="16" t="s">
        <v>62</v>
      </c>
      <c r="M72" s="17" t="s">
        <v>62</v>
      </c>
      <c r="N72" s="4" t="s">
        <v>62</v>
      </c>
    </row>
    <row r="73" spans="1:14" ht="22.65" customHeight="1" x14ac:dyDescent="0.45">
      <c r="A73" s="13" t="str">
        <f t="shared" si="2"/>
        <v>☐</v>
      </c>
      <c r="B73" s="14" t="s">
        <v>288</v>
      </c>
      <c r="C73" s="4" t="s">
        <v>38</v>
      </c>
      <c r="D73" s="4" t="s">
        <v>285</v>
      </c>
      <c r="E73" s="15" t="s">
        <v>289</v>
      </c>
      <c r="F73" s="15" t="s">
        <v>290</v>
      </c>
      <c r="G73" s="15" t="s">
        <v>7</v>
      </c>
      <c r="H73" s="4" t="s">
        <v>1</v>
      </c>
      <c r="I73" s="15" t="s">
        <v>10</v>
      </c>
      <c r="J73" s="4" t="s">
        <v>62</v>
      </c>
      <c r="K73" s="16" t="s">
        <v>0</v>
      </c>
      <c r="L73" s="16" t="s">
        <v>62</v>
      </c>
      <c r="M73" s="17" t="s">
        <v>62</v>
      </c>
      <c r="N73" s="4" t="s">
        <v>62</v>
      </c>
    </row>
    <row r="74" spans="1:14" ht="22.65" customHeight="1" x14ac:dyDescent="0.45">
      <c r="A74" s="13" t="str">
        <f t="shared" si="2"/>
        <v>☐</v>
      </c>
      <c r="B74" s="14" t="s">
        <v>291</v>
      </c>
      <c r="C74" s="4" t="s">
        <v>38</v>
      </c>
      <c r="D74" s="4" t="s">
        <v>292</v>
      </c>
      <c r="E74" s="15" t="s">
        <v>293</v>
      </c>
      <c r="F74" s="15" t="s">
        <v>294</v>
      </c>
      <c r="G74" s="15" t="s">
        <v>15</v>
      </c>
      <c r="H74" s="4" t="s">
        <v>5</v>
      </c>
      <c r="I74" s="15" t="s">
        <v>10</v>
      </c>
      <c r="J74" s="4" t="s">
        <v>62</v>
      </c>
      <c r="K74" s="16" t="s">
        <v>0</v>
      </c>
      <c r="L74" s="16" t="s">
        <v>62</v>
      </c>
      <c r="M74" s="17" t="s">
        <v>62</v>
      </c>
      <c r="N74" s="4" t="s">
        <v>62</v>
      </c>
    </row>
    <row r="75" spans="1:14" ht="22.65" customHeight="1" x14ac:dyDescent="0.45">
      <c r="A75" s="13" t="str">
        <f t="shared" si="2"/>
        <v>☐</v>
      </c>
      <c r="B75" s="14" t="s">
        <v>295</v>
      </c>
      <c r="C75" s="4" t="s">
        <v>38</v>
      </c>
      <c r="D75" s="4" t="s">
        <v>296</v>
      </c>
      <c r="E75" s="15" t="s">
        <v>297</v>
      </c>
      <c r="F75" s="15" t="s">
        <v>298</v>
      </c>
      <c r="G75" s="15" t="s">
        <v>11</v>
      </c>
      <c r="H75" s="4" t="s">
        <v>5</v>
      </c>
      <c r="I75" s="15" t="s">
        <v>10</v>
      </c>
      <c r="J75" s="4" t="s">
        <v>62</v>
      </c>
      <c r="K75" s="16" t="s">
        <v>0</v>
      </c>
      <c r="L75" s="16" t="s">
        <v>62</v>
      </c>
      <c r="M75" s="17" t="s">
        <v>62</v>
      </c>
      <c r="N75" s="4" t="s">
        <v>62</v>
      </c>
    </row>
    <row r="76" spans="1:14" ht="22.65" customHeight="1" x14ac:dyDescent="0.45">
      <c r="A76" s="13" t="str">
        <f t="shared" si="2"/>
        <v>☐</v>
      </c>
      <c r="B76" s="14" t="s">
        <v>299</v>
      </c>
      <c r="C76" s="4" t="s">
        <v>38</v>
      </c>
      <c r="D76" s="4" t="s">
        <v>300</v>
      </c>
      <c r="E76" s="15" t="s">
        <v>301</v>
      </c>
      <c r="F76" s="15" t="s">
        <v>302</v>
      </c>
      <c r="G76" s="15" t="s">
        <v>3</v>
      </c>
      <c r="H76" s="4" t="s">
        <v>5</v>
      </c>
      <c r="I76" s="15" t="s">
        <v>10</v>
      </c>
      <c r="J76" s="4" t="s">
        <v>62</v>
      </c>
      <c r="K76" s="16" t="s">
        <v>0</v>
      </c>
      <c r="L76" s="16" t="s">
        <v>62</v>
      </c>
      <c r="M76" s="17" t="s">
        <v>62</v>
      </c>
      <c r="N76" s="4" t="s">
        <v>62</v>
      </c>
    </row>
    <row r="77" spans="1:14" ht="22.65" customHeight="1" x14ac:dyDescent="0.45">
      <c r="A77" s="13" t="str">
        <f t="shared" si="2"/>
        <v>☐</v>
      </c>
      <c r="B77" s="14" t="s">
        <v>303</v>
      </c>
      <c r="C77" s="4" t="s">
        <v>38</v>
      </c>
      <c r="D77" s="4" t="s">
        <v>300</v>
      </c>
      <c r="E77" s="15" t="s">
        <v>304</v>
      </c>
      <c r="F77" s="15" t="s">
        <v>305</v>
      </c>
      <c r="G77" s="15" t="s">
        <v>3</v>
      </c>
      <c r="H77" s="4" t="s">
        <v>9</v>
      </c>
      <c r="I77" s="15" t="s">
        <v>14</v>
      </c>
      <c r="J77" s="4" t="s">
        <v>62</v>
      </c>
      <c r="K77" s="16" t="s">
        <v>0</v>
      </c>
      <c r="L77" s="16" t="s">
        <v>62</v>
      </c>
      <c r="M77" s="17" t="s">
        <v>62</v>
      </c>
      <c r="N77" s="4" t="s">
        <v>62</v>
      </c>
    </row>
    <row r="78" spans="1:14" ht="22.65" customHeight="1" x14ac:dyDescent="0.45">
      <c r="A78" s="13" t="str">
        <f t="shared" si="2"/>
        <v>☐</v>
      </c>
      <c r="B78" s="14" t="s">
        <v>306</v>
      </c>
      <c r="C78" s="4" t="s">
        <v>38</v>
      </c>
      <c r="D78" s="4" t="s">
        <v>307</v>
      </c>
      <c r="E78" s="15" t="s">
        <v>308</v>
      </c>
      <c r="F78" s="15" t="s">
        <v>309</v>
      </c>
      <c r="G78" s="15" t="s">
        <v>3</v>
      </c>
      <c r="H78" s="4" t="s">
        <v>1</v>
      </c>
      <c r="I78" s="15" t="s">
        <v>14</v>
      </c>
      <c r="J78" s="4" t="s">
        <v>62</v>
      </c>
      <c r="K78" s="16" t="s">
        <v>0</v>
      </c>
      <c r="L78" s="16" t="s">
        <v>62</v>
      </c>
      <c r="M78" s="17" t="s">
        <v>62</v>
      </c>
      <c r="N78" s="4" t="s">
        <v>62</v>
      </c>
    </row>
    <row r="79" spans="1:14" ht="22.65" customHeight="1" x14ac:dyDescent="0.45">
      <c r="A79" s="13" t="str">
        <f t="shared" si="2"/>
        <v>☐</v>
      </c>
      <c r="B79" s="14" t="s">
        <v>310</v>
      </c>
      <c r="C79" s="4" t="s">
        <v>38</v>
      </c>
      <c r="D79" s="4" t="s">
        <v>307</v>
      </c>
      <c r="E79" s="15" t="s">
        <v>311</v>
      </c>
      <c r="F79" s="15" t="s">
        <v>312</v>
      </c>
      <c r="G79" s="15" t="s">
        <v>3</v>
      </c>
      <c r="H79" s="4" t="s">
        <v>5</v>
      </c>
      <c r="I79" s="15" t="s">
        <v>14</v>
      </c>
      <c r="J79" s="4" t="s">
        <v>62</v>
      </c>
      <c r="K79" s="16" t="s">
        <v>0</v>
      </c>
      <c r="L79" s="16" t="s">
        <v>62</v>
      </c>
      <c r="M79" s="17" t="s">
        <v>62</v>
      </c>
      <c r="N79" s="4" t="s">
        <v>62</v>
      </c>
    </row>
    <row r="80" spans="1:14" ht="22.65" customHeight="1" x14ac:dyDescent="0.45">
      <c r="A80" s="13" t="str">
        <f t="shared" si="2"/>
        <v>☐</v>
      </c>
      <c r="B80" s="14" t="s">
        <v>313</v>
      </c>
      <c r="C80" s="4" t="s">
        <v>38</v>
      </c>
      <c r="D80" s="4" t="s">
        <v>314</v>
      </c>
      <c r="E80" s="15" t="s">
        <v>315</v>
      </c>
      <c r="F80" s="15" t="s">
        <v>316</v>
      </c>
      <c r="G80" s="15" t="s">
        <v>3</v>
      </c>
      <c r="H80" s="4" t="s">
        <v>9</v>
      </c>
      <c r="I80" s="15" t="s">
        <v>14</v>
      </c>
      <c r="J80" s="4" t="s">
        <v>62</v>
      </c>
      <c r="K80" s="16" t="s">
        <v>0</v>
      </c>
      <c r="L80" s="16" t="s">
        <v>62</v>
      </c>
      <c r="M80" s="17" t="s">
        <v>62</v>
      </c>
      <c r="N80" s="4" t="s">
        <v>62</v>
      </c>
    </row>
    <row r="81" spans="1:14" ht="22.65" customHeight="1" x14ac:dyDescent="0.45">
      <c r="A81" s="13" t="str">
        <f t="shared" si="2"/>
        <v>☐</v>
      </c>
      <c r="B81" s="14" t="s">
        <v>317</v>
      </c>
      <c r="C81" s="4" t="s">
        <v>38</v>
      </c>
      <c r="D81" s="4" t="s">
        <v>167</v>
      </c>
      <c r="E81" s="15" t="s">
        <v>318</v>
      </c>
      <c r="F81" s="15" t="s">
        <v>319</v>
      </c>
      <c r="G81" s="15" t="s">
        <v>3</v>
      </c>
      <c r="H81" s="4" t="s">
        <v>9</v>
      </c>
      <c r="I81" s="15" t="s">
        <v>14</v>
      </c>
      <c r="J81" s="4" t="s">
        <v>62</v>
      </c>
      <c r="K81" s="16" t="s">
        <v>0</v>
      </c>
      <c r="L81" s="16" t="s">
        <v>62</v>
      </c>
      <c r="M81" s="17" t="s">
        <v>62</v>
      </c>
      <c r="N81" s="4" t="s">
        <v>62</v>
      </c>
    </row>
    <row r="82" spans="1:14" ht="22.65" customHeight="1" x14ac:dyDescent="0.45">
      <c r="A82" s="13" t="str">
        <f t="shared" si="2"/>
        <v>☐</v>
      </c>
      <c r="B82" s="14" t="s">
        <v>320</v>
      </c>
      <c r="C82" s="4" t="s">
        <v>39</v>
      </c>
      <c r="D82" s="4" t="s">
        <v>321</v>
      </c>
      <c r="E82" s="15" t="s">
        <v>322</v>
      </c>
      <c r="F82" s="15" t="s">
        <v>323</v>
      </c>
      <c r="G82" s="15" t="s">
        <v>3</v>
      </c>
      <c r="H82" s="4" t="s">
        <v>1</v>
      </c>
      <c r="I82" s="15" t="s">
        <v>2</v>
      </c>
      <c r="J82" s="4" t="s">
        <v>62</v>
      </c>
      <c r="K82" s="16" t="s">
        <v>0</v>
      </c>
      <c r="L82" s="16" t="s">
        <v>62</v>
      </c>
      <c r="M82" s="17" t="s">
        <v>62</v>
      </c>
      <c r="N82" s="4" t="s">
        <v>62</v>
      </c>
    </row>
    <row r="83" spans="1:14" ht="22.65" customHeight="1" x14ac:dyDescent="0.45">
      <c r="A83" s="13" t="str">
        <f t="shared" si="2"/>
        <v>☐</v>
      </c>
      <c r="B83" s="14" t="s">
        <v>324</v>
      </c>
      <c r="C83" s="4" t="s">
        <v>39</v>
      </c>
      <c r="D83" s="4" t="s">
        <v>325</v>
      </c>
      <c r="E83" s="15" t="s">
        <v>326</v>
      </c>
      <c r="F83" s="15" t="s">
        <v>327</v>
      </c>
      <c r="G83" s="15" t="s">
        <v>3</v>
      </c>
      <c r="H83" s="4" t="s">
        <v>1</v>
      </c>
      <c r="I83" s="15" t="s">
        <v>2</v>
      </c>
      <c r="J83" s="4" t="s">
        <v>62</v>
      </c>
      <c r="K83" s="16" t="s">
        <v>0</v>
      </c>
      <c r="L83" s="16" t="s">
        <v>62</v>
      </c>
      <c r="M83" s="17" t="s">
        <v>62</v>
      </c>
      <c r="N83" s="4" t="s">
        <v>62</v>
      </c>
    </row>
    <row r="84" spans="1:14" ht="22.65" customHeight="1" x14ac:dyDescent="0.45">
      <c r="A84" s="13" t="str">
        <f t="shared" si="2"/>
        <v>☐</v>
      </c>
      <c r="B84" s="14" t="s">
        <v>328</v>
      </c>
      <c r="C84" s="4" t="s">
        <v>39</v>
      </c>
      <c r="D84" s="4" t="s">
        <v>325</v>
      </c>
      <c r="E84" s="15" t="s">
        <v>329</v>
      </c>
      <c r="F84" s="15" t="s">
        <v>330</v>
      </c>
      <c r="G84" s="15" t="s">
        <v>3</v>
      </c>
      <c r="H84" s="4" t="s">
        <v>1</v>
      </c>
      <c r="I84" s="15" t="s">
        <v>2</v>
      </c>
      <c r="J84" s="4" t="s">
        <v>62</v>
      </c>
      <c r="K84" s="16" t="s">
        <v>0</v>
      </c>
      <c r="L84" s="16" t="s">
        <v>62</v>
      </c>
      <c r="M84" s="17" t="s">
        <v>62</v>
      </c>
      <c r="N84" s="4" t="s">
        <v>62</v>
      </c>
    </row>
    <row r="85" spans="1:14" ht="22.65" customHeight="1" x14ac:dyDescent="0.45">
      <c r="A85" s="13" t="str">
        <f t="shared" si="2"/>
        <v>☐</v>
      </c>
      <c r="B85" s="14" t="s">
        <v>331</v>
      </c>
      <c r="C85" s="4" t="s">
        <v>39</v>
      </c>
      <c r="D85" s="4" t="s">
        <v>332</v>
      </c>
      <c r="E85" s="15" t="s">
        <v>333</v>
      </c>
      <c r="F85" s="15" t="s">
        <v>334</v>
      </c>
      <c r="G85" s="15" t="s">
        <v>17</v>
      </c>
      <c r="H85" s="4" t="s">
        <v>1</v>
      </c>
      <c r="I85" s="15" t="s">
        <v>2</v>
      </c>
      <c r="J85" s="4" t="s">
        <v>62</v>
      </c>
      <c r="K85" s="16" t="s">
        <v>0</v>
      </c>
      <c r="L85" s="16" t="s">
        <v>62</v>
      </c>
      <c r="M85" s="17" t="s">
        <v>62</v>
      </c>
      <c r="N85" s="4" t="s">
        <v>62</v>
      </c>
    </row>
    <row r="86" spans="1:14" ht="22.65" customHeight="1" x14ac:dyDescent="0.45">
      <c r="A86" s="13" t="str">
        <f t="shared" si="2"/>
        <v>☐</v>
      </c>
      <c r="B86" s="14" t="s">
        <v>335</v>
      </c>
      <c r="C86" s="4" t="s">
        <v>39</v>
      </c>
      <c r="D86" s="4" t="s">
        <v>332</v>
      </c>
      <c r="E86" s="15" t="s">
        <v>336</v>
      </c>
      <c r="F86" s="15" t="s">
        <v>337</v>
      </c>
      <c r="G86" s="15" t="s">
        <v>15</v>
      </c>
      <c r="H86" s="4" t="s">
        <v>5</v>
      </c>
      <c r="I86" s="15" t="s">
        <v>6</v>
      </c>
      <c r="J86" s="4" t="s">
        <v>62</v>
      </c>
      <c r="K86" s="16" t="s">
        <v>0</v>
      </c>
      <c r="L86" s="16" t="s">
        <v>62</v>
      </c>
      <c r="M86" s="17" t="s">
        <v>62</v>
      </c>
      <c r="N86" s="4" t="s">
        <v>62</v>
      </c>
    </row>
    <row r="87" spans="1:14" ht="22.65" customHeight="1" x14ac:dyDescent="0.45">
      <c r="A87" s="13" t="str">
        <f t="shared" si="2"/>
        <v>☐</v>
      </c>
      <c r="B87" s="14" t="s">
        <v>338</v>
      </c>
      <c r="C87" s="4" t="s">
        <v>39</v>
      </c>
      <c r="D87" s="4" t="s">
        <v>332</v>
      </c>
      <c r="E87" s="15" t="s">
        <v>339</v>
      </c>
      <c r="F87" s="15" t="s">
        <v>340</v>
      </c>
      <c r="G87" s="15" t="s">
        <v>11</v>
      </c>
      <c r="H87" s="4" t="s">
        <v>9</v>
      </c>
      <c r="I87" s="15" t="s">
        <v>10</v>
      </c>
      <c r="J87" s="4" t="s">
        <v>62</v>
      </c>
      <c r="K87" s="16" t="s">
        <v>0</v>
      </c>
      <c r="L87" s="16" t="s">
        <v>62</v>
      </c>
      <c r="M87" s="17" t="s">
        <v>62</v>
      </c>
      <c r="N87" s="4" t="s">
        <v>62</v>
      </c>
    </row>
    <row r="88" spans="1:14" ht="22.65" customHeight="1" x14ac:dyDescent="0.45">
      <c r="A88" s="13" t="str">
        <f t="shared" si="2"/>
        <v>☐</v>
      </c>
      <c r="B88" s="14" t="s">
        <v>341</v>
      </c>
      <c r="C88" s="4" t="s">
        <v>39</v>
      </c>
      <c r="D88" s="4" t="s">
        <v>205</v>
      </c>
      <c r="E88" s="15" t="s">
        <v>342</v>
      </c>
      <c r="F88" s="15" t="s">
        <v>343</v>
      </c>
      <c r="G88" s="15" t="s">
        <v>3</v>
      </c>
      <c r="H88" s="4" t="s">
        <v>5</v>
      </c>
      <c r="I88" s="15" t="s">
        <v>6</v>
      </c>
      <c r="J88" s="4" t="s">
        <v>62</v>
      </c>
      <c r="K88" s="16" t="s">
        <v>0</v>
      </c>
      <c r="L88" s="16" t="s">
        <v>62</v>
      </c>
      <c r="M88" s="17" t="s">
        <v>62</v>
      </c>
      <c r="N88" s="4" t="s">
        <v>62</v>
      </c>
    </row>
    <row r="89" spans="1:14" ht="22.65" customHeight="1" x14ac:dyDescent="0.45">
      <c r="A89" s="13" t="str">
        <f t="shared" si="2"/>
        <v>☐</v>
      </c>
      <c r="B89" s="14" t="s">
        <v>344</v>
      </c>
      <c r="C89" s="4" t="s">
        <v>39</v>
      </c>
      <c r="D89" s="4" t="s">
        <v>205</v>
      </c>
      <c r="E89" s="15" t="s">
        <v>345</v>
      </c>
      <c r="F89" s="15" t="s">
        <v>346</v>
      </c>
      <c r="G89" s="15" t="s">
        <v>7</v>
      </c>
      <c r="H89" s="4" t="s">
        <v>5</v>
      </c>
      <c r="I89" s="15" t="s">
        <v>10</v>
      </c>
      <c r="J89" s="4" t="s">
        <v>62</v>
      </c>
      <c r="K89" s="16" t="s">
        <v>0</v>
      </c>
      <c r="L89" s="16" t="s">
        <v>62</v>
      </c>
      <c r="M89" s="17" t="s">
        <v>62</v>
      </c>
      <c r="N89" s="4" t="s">
        <v>62</v>
      </c>
    </row>
    <row r="90" spans="1:14" ht="22.65" customHeight="1" x14ac:dyDescent="0.45">
      <c r="A90" s="13" t="str">
        <f t="shared" si="2"/>
        <v>☐</v>
      </c>
      <c r="B90" s="14" t="s">
        <v>347</v>
      </c>
      <c r="C90" s="4" t="s">
        <v>39</v>
      </c>
      <c r="D90" s="4" t="s">
        <v>348</v>
      </c>
      <c r="E90" s="15" t="s">
        <v>349</v>
      </c>
      <c r="F90" s="15" t="s">
        <v>350</v>
      </c>
      <c r="G90" s="15" t="s">
        <v>3</v>
      </c>
      <c r="H90" s="4" t="s">
        <v>5</v>
      </c>
      <c r="I90" s="15" t="s">
        <v>6</v>
      </c>
      <c r="J90" s="4" t="s">
        <v>62</v>
      </c>
      <c r="K90" s="16" t="s">
        <v>0</v>
      </c>
      <c r="L90" s="16" t="s">
        <v>62</v>
      </c>
      <c r="M90" s="17" t="s">
        <v>62</v>
      </c>
      <c r="N90" s="4" t="s">
        <v>62</v>
      </c>
    </row>
    <row r="91" spans="1:14" ht="22.65" customHeight="1" x14ac:dyDescent="0.45">
      <c r="A91" s="13" t="str">
        <f t="shared" si="2"/>
        <v>☐</v>
      </c>
      <c r="B91" s="14" t="s">
        <v>351</v>
      </c>
      <c r="C91" s="4" t="s">
        <v>39</v>
      </c>
      <c r="D91" s="4" t="s">
        <v>352</v>
      </c>
      <c r="E91" s="15" t="s">
        <v>353</v>
      </c>
      <c r="F91" s="15" t="s">
        <v>354</v>
      </c>
      <c r="G91" s="15" t="s">
        <v>3</v>
      </c>
      <c r="H91" s="4" t="s">
        <v>5</v>
      </c>
      <c r="I91" s="15" t="s">
        <v>6</v>
      </c>
      <c r="J91" s="4" t="s">
        <v>62</v>
      </c>
      <c r="K91" s="16" t="s">
        <v>0</v>
      </c>
      <c r="L91" s="16" t="s">
        <v>62</v>
      </c>
      <c r="M91" s="17" t="s">
        <v>62</v>
      </c>
      <c r="N91" s="4" t="s">
        <v>62</v>
      </c>
    </row>
    <row r="92" spans="1:14" ht="22.65" customHeight="1" x14ac:dyDescent="0.45">
      <c r="A92" s="13" t="str">
        <f t="shared" si="2"/>
        <v>☐</v>
      </c>
      <c r="B92" s="14" t="s">
        <v>355</v>
      </c>
      <c r="C92" s="4" t="s">
        <v>39</v>
      </c>
      <c r="D92" s="4" t="s">
        <v>356</v>
      </c>
      <c r="E92" s="15" t="s">
        <v>357</v>
      </c>
      <c r="F92" s="15" t="s">
        <v>358</v>
      </c>
      <c r="G92" s="15" t="s">
        <v>3</v>
      </c>
      <c r="H92" s="4" t="s">
        <v>9</v>
      </c>
      <c r="I92" s="15" t="s">
        <v>6</v>
      </c>
      <c r="J92" s="4" t="s">
        <v>62</v>
      </c>
      <c r="K92" s="16" t="s">
        <v>0</v>
      </c>
      <c r="L92" s="16" t="s">
        <v>62</v>
      </c>
      <c r="M92" s="17" t="s">
        <v>62</v>
      </c>
      <c r="N92" s="4" t="s">
        <v>62</v>
      </c>
    </row>
    <row r="93" spans="1:14" ht="22.65" customHeight="1" x14ac:dyDescent="0.45">
      <c r="A93" s="13" t="str">
        <f t="shared" si="2"/>
        <v>☐</v>
      </c>
      <c r="B93" s="14" t="s">
        <v>359</v>
      </c>
      <c r="C93" s="4" t="s">
        <v>39</v>
      </c>
      <c r="D93" s="4" t="s">
        <v>167</v>
      </c>
      <c r="E93" s="15" t="s">
        <v>360</v>
      </c>
      <c r="F93" s="15" t="s">
        <v>361</v>
      </c>
      <c r="G93" s="15" t="s">
        <v>3</v>
      </c>
      <c r="H93" s="4" t="s">
        <v>9</v>
      </c>
      <c r="I93" s="15" t="s">
        <v>14</v>
      </c>
      <c r="J93" s="4" t="s">
        <v>62</v>
      </c>
      <c r="K93" s="16" t="s">
        <v>0</v>
      </c>
      <c r="L93" s="16" t="s">
        <v>62</v>
      </c>
      <c r="M93" s="17" t="s">
        <v>62</v>
      </c>
      <c r="N93" s="4" t="s">
        <v>62</v>
      </c>
    </row>
    <row r="94" spans="1:14" ht="22.65" customHeight="1" x14ac:dyDescent="0.45">
      <c r="A94" s="13" t="str">
        <f t="shared" si="2"/>
        <v>☐</v>
      </c>
      <c r="B94" s="14" t="s">
        <v>362</v>
      </c>
      <c r="C94" s="4" t="s">
        <v>40</v>
      </c>
      <c r="D94" s="4" t="s">
        <v>363</v>
      </c>
      <c r="E94" s="15" t="s">
        <v>364</v>
      </c>
      <c r="F94" s="15" t="s">
        <v>365</v>
      </c>
      <c r="G94" s="15" t="s">
        <v>3</v>
      </c>
      <c r="H94" s="4" t="s">
        <v>1</v>
      </c>
      <c r="I94" s="15" t="s">
        <v>6</v>
      </c>
      <c r="J94" s="4" t="s">
        <v>62</v>
      </c>
      <c r="K94" s="16" t="s">
        <v>0</v>
      </c>
      <c r="L94" s="16" t="s">
        <v>62</v>
      </c>
      <c r="M94" s="17" t="s">
        <v>62</v>
      </c>
      <c r="N94" s="4" t="s">
        <v>62</v>
      </c>
    </row>
    <row r="95" spans="1:14" ht="22.65" customHeight="1" x14ac:dyDescent="0.45">
      <c r="A95" s="13" t="str">
        <f t="shared" si="2"/>
        <v>☐</v>
      </c>
      <c r="B95" s="14" t="s">
        <v>366</v>
      </c>
      <c r="C95" s="4" t="s">
        <v>40</v>
      </c>
      <c r="D95" s="4" t="s">
        <v>363</v>
      </c>
      <c r="E95" s="15" t="s">
        <v>367</v>
      </c>
      <c r="F95" s="15" t="s">
        <v>368</v>
      </c>
      <c r="G95" s="15" t="s">
        <v>3</v>
      </c>
      <c r="H95" s="4" t="s">
        <v>1</v>
      </c>
      <c r="I95" s="15" t="s">
        <v>6</v>
      </c>
      <c r="J95" s="4" t="s">
        <v>62</v>
      </c>
      <c r="K95" s="16" t="s">
        <v>0</v>
      </c>
      <c r="L95" s="16" t="s">
        <v>62</v>
      </c>
      <c r="M95" s="17" t="s">
        <v>62</v>
      </c>
      <c r="N95" s="4" t="s">
        <v>62</v>
      </c>
    </row>
    <row r="96" spans="1:14" ht="22.65" customHeight="1" x14ac:dyDescent="0.45">
      <c r="A96" s="13" t="str">
        <f t="shared" si="2"/>
        <v>☐</v>
      </c>
      <c r="B96" s="14" t="s">
        <v>369</v>
      </c>
      <c r="C96" s="4" t="s">
        <v>40</v>
      </c>
      <c r="D96" s="4" t="s">
        <v>363</v>
      </c>
      <c r="E96" s="15" t="s">
        <v>370</v>
      </c>
      <c r="F96" s="15" t="s">
        <v>371</v>
      </c>
      <c r="G96" s="15" t="s">
        <v>3</v>
      </c>
      <c r="H96" s="4" t="s">
        <v>5</v>
      </c>
      <c r="I96" s="15" t="s">
        <v>10</v>
      </c>
      <c r="J96" s="4" t="s">
        <v>62</v>
      </c>
      <c r="K96" s="16" t="s">
        <v>0</v>
      </c>
      <c r="L96" s="16" t="s">
        <v>62</v>
      </c>
      <c r="M96" s="17" t="s">
        <v>62</v>
      </c>
      <c r="N96" s="4" t="s">
        <v>62</v>
      </c>
    </row>
    <row r="97" spans="1:14" ht="22.65" customHeight="1" x14ac:dyDescent="0.45">
      <c r="A97" s="13" t="str">
        <f t="shared" si="2"/>
        <v>☐</v>
      </c>
      <c r="B97" s="14" t="s">
        <v>372</v>
      </c>
      <c r="C97" s="4" t="s">
        <v>40</v>
      </c>
      <c r="D97" s="4" t="s">
        <v>373</v>
      </c>
      <c r="E97" s="15" t="s">
        <v>374</v>
      </c>
      <c r="F97" s="15" t="s">
        <v>375</v>
      </c>
      <c r="G97" s="15" t="s">
        <v>3</v>
      </c>
      <c r="H97" s="4" t="s">
        <v>5</v>
      </c>
      <c r="I97" s="15" t="s">
        <v>6</v>
      </c>
      <c r="J97" s="4" t="s">
        <v>62</v>
      </c>
      <c r="K97" s="16" t="s">
        <v>0</v>
      </c>
      <c r="L97" s="16" t="s">
        <v>62</v>
      </c>
      <c r="M97" s="17" t="s">
        <v>62</v>
      </c>
      <c r="N97" s="4" t="s">
        <v>62</v>
      </c>
    </row>
    <row r="98" spans="1:14" ht="22.65" customHeight="1" x14ac:dyDescent="0.45">
      <c r="A98" s="13" t="str">
        <f t="shared" si="2"/>
        <v>☐</v>
      </c>
      <c r="B98" s="14" t="s">
        <v>376</v>
      </c>
      <c r="C98" s="4" t="s">
        <v>40</v>
      </c>
      <c r="D98" s="4" t="s">
        <v>373</v>
      </c>
      <c r="E98" s="15" t="s">
        <v>377</v>
      </c>
      <c r="F98" s="15" t="s">
        <v>378</v>
      </c>
      <c r="G98" s="15" t="s">
        <v>3</v>
      </c>
      <c r="H98" s="4" t="s">
        <v>5</v>
      </c>
      <c r="I98" s="15" t="s">
        <v>14</v>
      </c>
      <c r="J98" s="4" t="s">
        <v>62</v>
      </c>
      <c r="K98" s="16" t="s">
        <v>0</v>
      </c>
      <c r="L98" s="16" t="s">
        <v>62</v>
      </c>
      <c r="M98" s="17" t="s">
        <v>62</v>
      </c>
      <c r="N98" s="4" t="s">
        <v>62</v>
      </c>
    </row>
    <row r="99" spans="1:14" ht="22.65" customHeight="1" x14ac:dyDescent="0.45">
      <c r="A99" s="13" t="str">
        <f t="shared" si="2"/>
        <v>☐</v>
      </c>
      <c r="B99" s="14" t="s">
        <v>379</v>
      </c>
      <c r="C99" s="4" t="s">
        <v>40</v>
      </c>
      <c r="D99" s="4" t="s">
        <v>380</v>
      </c>
      <c r="E99" s="15" t="s">
        <v>381</v>
      </c>
      <c r="F99" s="15" t="s">
        <v>382</v>
      </c>
      <c r="G99" s="15" t="s">
        <v>3</v>
      </c>
      <c r="H99" s="4" t="s">
        <v>9</v>
      </c>
      <c r="I99" s="15" t="s">
        <v>14</v>
      </c>
      <c r="J99" s="4" t="s">
        <v>62</v>
      </c>
      <c r="K99" s="16" t="s">
        <v>0</v>
      </c>
      <c r="L99" s="16" t="s">
        <v>62</v>
      </c>
      <c r="M99" s="17" t="s">
        <v>62</v>
      </c>
      <c r="N99" s="4" t="s">
        <v>62</v>
      </c>
    </row>
    <row r="100" spans="1:14" ht="22.65" customHeight="1" x14ac:dyDescent="0.45">
      <c r="A100" s="13" t="str">
        <f t="shared" si="2"/>
        <v>☐</v>
      </c>
      <c r="B100" s="14" t="s">
        <v>383</v>
      </c>
      <c r="C100" s="4" t="s">
        <v>40</v>
      </c>
      <c r="D100" s="4" t="s">
        <v>384</v>
      </c>
      <c r="E100" s="15" t="s">
        <v>385</v>
      </c>
      <c r="F100" s="15" t="s">
        <v>386</v>
      </c>
      <c r="G100" s="15" t="s">
        <v>3</v>
      </c>
      <c r="H100" s="4" t="s">
        <v>9</v>
      </c>
      <c r="I100" s="15" t="s">
        <v>14</v>
      </c>
      <c r="J100" s="4" t="s">
        <v>62</v>
      </c>
      <c r="K100" s="16" t="s">
        <v>0</v>
      </c>
      <c r="L100" s="16" t="s">
        <v>62</v>
      </c>
      <c r="M100" s="17" t="s">
        <v>62</v>
      </c>
      <c r="N100" s="4" t="s">
        <v>62</v>
      </c>
    </row>
    <row r="101" spans="1:14" ht="22.65" customHeight="1" x14ac:dyDescent="0.45">
      <c r="A101" s="13" t="str">
        <f t="shared" si="2"/>
        <v>☐</v>
      </c>
      <c r="B101" s="14" t="s">
        <v>387</v>
      </c>
      <c r="C101" s="4" t="s">
        <v>40</v>
      </c>
      <c r="D101" s="4" t="s">
        <v>388</v>
      </c>
      <c r="E101" s="15" t="s">
        <v>389</v>
      </c>
      <c r="F101" s="15" t="s">
        <v>390</v>
      </c>
      <c r="G101" s="15" t="s">
        <v>3</v>
      </c>
      <c r="H101" s="4" t="s">
        <v>5</v>
      </c>
      <c r="I101" s="15" t="s">
        <v>6</v>
      </c>
      <c r="J101" s="4" t="s">
        <v>62</v>
      </c>
      <c r="K101" s="16" t="s">
        <v>0</v>
      </c>
      <c r="L101" s="16" t="s">
        <v>62</v>
      </c>
      <c r="M101" s="17" t="s">
        <v>62</v>
      </c>
      <c r="N101" s="4" t="s">
        <v>62</v>
      </c>
    </row>
    <row r="102" spans="1:14" ht="22.65" customHeight="1" x14ac:dyDescent="0.45">
      <c r="A102" s="13" t="str">
        <f t="shared" ref="A102:A114" si="3">IF(K102="Done","☑","☐")</f>
        <v>☐</v>
      </c>
      <c r="B102" s="14" t="s">
        <v>391</v>
      </c>
      <c r="C102" s="4" t="s">
        <v>40</v>
      </c>
      <c r="D102" s="4" t="s">
        <v>392</v>
      </c>
      <c r="E102" s="15" t="s">
        <v>393</v>
      </c>
      <c r="F102" s="15" t="s">
        <v>394</v>
      </c>
      <c r="G102" s="15" t="s">
        <v>3</v>
      </c>
      <c r="H102" s="4" t="s">
        <v>5</v>
      </c>
      <c r="I102" s="15" t="s">
        <v>6</v>
      </c>
      <c r="J102" s="4" t="s">
        <v>62</v>
      </c>
      <c r="K102" s="16" t="s">
        <v>0</v>
      </c>
      <c r="L102" s="16" t="s">
        <v>62</v>
      </c>
      <c r="M102" s="17" t="s">
        <v>62</v>
      </c>
      <c r="N102" s="4" t="s">
        <v>62</v>
      </c>
    </row>
    <row r="103" spans="1:14" ht="22.65" customHeight="1" x14ac:dyDescent="0.45">
      <c r="A103" s="13" t="str">
        <f t="shared" si="3"/>
        <v>☐</v>
      </c>
      <c r="B103" s="14" t="s">
        <v>395</v>
      </c>
      <c r="C103" s="4" t="s">
        <v>40</v>
      </c>
      <c r="D103" s="4" t="s">
        <v>392</v>
      </c>
      <c r="E103" s="15" t="s">
        <v>396</v>
      </c>
      <c r="F103" s="15" t="s">
        <v>397</v>
      </c>
      <c r="G103" s="15" t="s">
        <v>3</v>
      </c>
      <c r="H103" s="4" t="s">
        <v>9</v>
      </c>
      <c r="I103" s="15" t="s">
        <v>14</v>
      </c>
      <c r="J103" s="4" t="s">
        <v>62</v>
      </c>
      <c r="K103" s="16" t="s">
        <v>0</v>
      </c>
      <c r="L103" s="16" t="s">
        <v>62</v>
      </c>
      <c r="M103" s="17" t="s">
        <v>62</v>
      </c>
      <c r="N103" s="4" t="s">
        <v>62</v>
      </c>
    </row>
    <row r="104" spans="1:14" ht="22.65" customHeight="1" x14ac:dyDescent="0.45">
      <c r="A104" s="13" t="str">
        <f t="shared" si="3"/>
        <v>☐</v>
      </c>
      <c r="B104" s="14" t="s">
        <v>398</v>
      </c>
      <c r="C104" s="4" t="s">
        <v>41</v>
      </c>
      <c r="D104" s="4" t="s">
        <v>399</v>
      </c>
      <c r="E104" s="15" t="s">
        <v>400</v>
      </c>
      <c r="F104" s="15" t="s">
        <v>401</v>
      </c>
      <c r="G104" s="15" t="s">
        <v>3</v>
      </c>
      <c r="H104" s="4" t="s">
        <v>5</v>
      </c>
      <c r="I104" s="15" t="s">
        <v>14</v>
      </c>
      <c r="J104" s="4" t="s">
        <v>62</v>
      </c>
      <c r="K104" s="16" t="s">
        <v>0</v>
      </c>
      <c r="L104" s="16" t="s">
        <v>62</v>
      </c>
      <c r="M104" s="17" t="s">
        <v>62</v>
      </c>
      <c r="N104" s="4" t="s">
        <v>62</v>
      </c>
    </row>
    <row r="105" spans="1:14" ht="22.65" customHeight="1" x14ac:dyDescent="0.45">
      <c r="A105" s="13" t="str">
        <f t="shared" si="3"/>
        <v>☐</v>
      </c>
      <c r="B105" s="14" t="s">
        <v>402</v>
      </c>
      <c r="C105" s="4" t="s">
        <v>41</v>
      </c>
      <c r="D105" s="4" t="s">
        <v>399</v>
      </c>
      <c r="E105" s="15" t="s">
        <v>403</v>
      </c>
      <c r="F105" s="15" t="s">
        <v>404</v>
      </c>
      <c r="G105" s="15" t="s">
        <v>3</v>
      </c>
      <c r="H105" s="4" t="s">
        <v>1</v>
      </c>
      <c r="I105" s="15" t="s">
        <v>14</v>
      </c>
      <c r="J105" s="4" t="s">
        <v>62</v>
      </c>
      <c r="K105" s="16" t="s">
        <v>0</v>
      </c>
      <c r="L105" s="16" t="s">
        <v>62</v>
      </c>
      <c r="M105" s="17" t="s">
        <v>62</v>
      </c>
      <c r="N105" s="4" t="s">
        <v>62</v>
      </c>
    </row>
    <row r="106" spans="1:14" ht="22.65" customHeight="1" x14ac:dyDescent="0.45">
      <c r="A106" s="13" t="str">
        <f t="shared" si="3"/>
        <v>☐</v>
      </c>
      <c r="B106" s="14" t="s">
        <v>405</v>
      </c>
      <c r="C106" s="4" t="s">
        <v>41</v>
      </c>
      <c r="D106" s="4" t="s">
        <v>406</v>
      </c>
      <c r="E106" s="15" t="s">
        <v>407</v>
      </c>
      <c r="F106" s="15" t="s">
        <v>408</v>
      </c>
      <c r="G106" s="15" t="s">
        <v>3</v>
      </c>
      <c r="H106" s="4" t="s">
        <v>9</v>
      </c>
      <c r="I106" s="15" t="s">
        <v>14</v>
      </c>
      <c r="J106" s="4" t="s">
        <v>62</v>
      </c>
      <c r="K106" s="16" t="s">
        <v>0</v>
      </c>
      <c r="L106" s="16" t="s">
        <v>62</v>
      </c>
      <c r="M106" s="17" t="s">
        <v>62</v>
      </c>
      <c r="N106" s="4" t="s">
        <v>62</v>
      </c>
    </row>
    <row r="107" spans="1:14" ht="22.65" customHeight="1" x14ac:dyDescent="0.45">
      <c r="A107" s="13" t="str">
        <f t="shared" si="3"/>
        <v>☐</v>
      </c>
      <c r="B107" s="14" t="s">
        <v>409</v>
      </c>
      <c r="C107" s="4" t="s">
        <v>41</v>
      </c>
      <c r="D107" s="4" t="s">
        <v>406</v>
      </c>
      <c r="E107" s="15" t="s">
        <v>410</v>
      </c>
      <c r="F107" s="15" t="s">
        <v>411</v>
      </c>
      <c r="G107" s="15" t="s">
        <v>3</v>
      </c>
      <c r="H107" s="4" t="s">
        <v>13</v>
      </c>
      <c r="I107" s="15" t="s">
        <v>14</v>
      </c>
      <c r="J107" s="4" t="s">
        <v>62</v>
      </c>
      <c r="K107" s="16" t="s">
        <v>0</v>
      </c>
      <c r="L107" s="16" t="s">
        <v>62</v>
      </c>
      <c r="M107" s="17" t="s">
        <v>62</v>
      </c>
      <c r="N107" s="4" t="s">
        <v>62</v>
      </c>
    </row>
    <row r="108" spans="1:14" ht="22.65" customHeight="1" x14ac:dyDescent="0.45">
      <c r="A108" s="13" t="str">
        <f t="shared" si="3"/>
        <v>☐</v>
      </c>
      <c r="B108" s="14" t="s">
        <v>412</v>
      </c>
      <c r="C108" s="4" t="s">
        <v>41</v>
      </c>
      <c r="D108" s="4" t="s">
        <v>413</v>
      </c>
      <c r="E108" s="15" t="s">
        <v>414</v>
      </c>
      <c r="F108" s="15" t="s">
        <v>415</v>
      </c>
      <c r="G108" s="15" t="s">
        <v>3</v>
      </c>
      <c r="H108" s="4" t="s">
        <v>9</v>
      </c>
      <c r="I108" s="15" t="s">
        <v>14</v>
      </c>
      <c r="J108" s="4" t="s">
        <v>62</v>
      </c>
      <c r="K108" s="16" t="s">
        <v>0</v>
      </c>
      <c r="L108" s="16" t="s">
        <v>62</v>
      </c>
      <c r="M108" s="17" t="s">
        <v>62</v>
      </c>
      <c r="N108" s="4" t="s">
        <v>62</v>
      </c>
    </row>
    <row r="109" spans="1:14" ht="22.65" customHeight="1" x14ac:dyDescent="0.45">
      <c r="A109" s="13" t="str">
        <f t="shared" si="3"/>
        <v>☐</v>
      </c>
      <c r="B109" s="14" t="s">
        <v>416</v>
      </c>
      <c r="C109" s="4" t="s">
        <v>41</v>
      </c>
      <c r="D109" s="4" t="s">
        <v>413</v>
      </c>
      <c r="E109" s="15" t="s">
        <v>417</v>
      </c>
      <c r="F109" s="15" t="s">
        <v>418</v>
      </c>
      <c r="G109" s="15" t="s">
        <v>18</v>
      </c>
      <c r="H109" s="4" t="s">
        <v>9</v>
      </c>
      <c r="I109" s="15" t="s">
        <v>14</v>
      </c>
      <c r="J109" s="4" t="s">
        <v>62</v>
      </c>
      <c r="K109" s="16" t="s">
        <v>0</v>
      </c>
      <c r="L109" s="16" t="s">
        <v>62</v>
      </c>
      <c r="M109" s="17" t="s">
        <v>62</v>
      </c>
      <c r="N109" s="4" t="s">
        <v>62</v>
      </c>
    </row>
    <row r="110" spans="1:14" ht="22.65" customHeight="1" x14ac:dyDescent="0.45">
      <c r="A110" s="13" t="str">
        <f t="shared" si="3"/>
        <v>☐</v>
      </c>
      <c r="B110" s="14" t="s">
        <v>419</v>
      </c>
      <c r="C110" s="4" t="s">
        <v>41</v>
      </c>
      <c r="D110" s="4" t="s">
        <v>420</v>
      </c>
      <c r="E110" s="15" t="s">
        <v>421</v>
      </c>
      <c r="F110" s="15" t="s">
        <v>422</v>
      </c>
      <c r="G110" s="15" t="s">
        <v>11</v>
      </c>
      <c r="H110" s="4" t="s">
        <v>9</v>
      </c>
      <c r="I110" s="15" t="s">
        <v>14</v>
      </c>
      <c r="J110" s="4" t="s">
        <v>62</v>
      </c>
      <c r="K110" s="16" t="s">
        <v>0</v>
      </c>
      <c r="L110" s="16" t="s">
        <v>62</v>
      </c>
      <c r="M110" s="17" t="s">
        <v>62</v>
      </c>
      <c r="N110" s="4" t="s">
        <v>62</v>
      </c>
    </row>
    <row r="111" spans="1:14" ht="22.65" customHeight="1" x14ac:dyDescent="0.45">
      <c r="A111" s="13" t="str">
        <f t="shared" si="3"/>
        <v>☐</v>
      </c>
      <c r="B111" s="14" t="s">
        <v>423</v>
      </c>
      <c r="C111" s="4" t="s">
        <v>41</v>
      </c>
      <c r="D111" s="4" t="s">
        <v>420</v>
      </c>
      <c r="E111" s="15" t="s">
        <v>424</v>
      </c>
      <c r="F111" s="15" t="s">
        <v>425</v>
      </c>
      <c r="G111" s="15" t="s">
        <v>3</v>
      </c>
      <c r="H111" s="4" t="s">
        <v>9</v>
      </c>
      <c r="I111" s="15" t="s">
        <v>14</v>
      </c>
      <c r="J111" s="4" t="s">
        <v>62</v>
      </c>
      <c r="K111" s="16" t="s">
        <v>0</v>
      </c>
      <c r="L111" s="16" t="s">
        <v>62</v>
      </c>
      <c r="M111" s="17" t="s">
        <v>62</v>
      </c>
      <c r="N111" s="4" t="s">
        <v>62</v>
      </c>
    </row>
    <row r="112" spans="1:14" ht="22.65" customHeight="1" x14ac:dyDescent="0.45">
      <c r="A112" s="13" t="str">
        <f t="shared" si="3"/>
        <v>☐</v>
      </c>
      <c r="B112" s="14" t="s">
        <v>426</v>
      </c>
      <c r="C112" s="4" t="s">
        <v>41</v>
      </c>
      <c r="D112" s="4" t="s">
        <v>427</v>
      </c>
      <c r="E112" s="15" t="s">
        <v>428</v>
      </c>
      <c r="F112" s="15" t="s">
        <v>429</v>
      </c>
      <c r="G112" s="15" t="s">
        <v>3</v>
      </c>
      <c r="H112" s="4" t="s">
        <v>5</v>
      </c>
      <c r="I112" s="15" t="s">
        <v>14</v>
      </c>
      <c r="J112" s="4" t="s">
        <v>62</v>
      </c>
      <c r="K112" s="16" t="s">
        <v>0</v>
      </c>
      <c r="L112" s="16" t="s">
        <v>62</v>
      </c>
      <c r="M112" s="17" t="s">
        <v>62</v>
      </c>
      <c r="N112" s="4" t="s">
        <v>62</v>
      </c>
    </row>
    <row r="113" spans="1:14" ht="22.65" customHeight="1" x14ac:dyDescent="0.45">
      <c r="A113" s="13" t="str">
        <f t="shared" si="3"/>
        <v>☐</v>
      </c>
      <c r="B113" s="14" t="s">
        <v>430</v>
      </c>
      <c r="C113" s="4" t="s">
        <v>41</v>
      </c>
      <c r="D113" s="4" t="s">
        <v>427</v>
      </c>
      <c r="E113" s="15" t="s">
        <v>431</v>
      </c>
      <c r="F113" s="15" t="s">
        <v>432</v>
      </c>
      <c r="G113" s="15" t="s">
        <v>3</v>
      </c>
      <c r="H113" s="4" t="s">
        <v>5</v>
      </c>
      <c r="I113" s="15" t="s">
        <v>14</v>
      </c>
      <c r="J113" s="4" t="s">
        <v>62</v>
      </c>
      <c r="K113" s="16" t="s">
        <v>0</v>
      </c>
      <c r="L113" s="16" t="s">
        <v>62</v>
      </c>
      <c r="M113" s="17" t="s">
        <v>62</v>
      </c>
      <c r="N113" s="4" t="s">
        <v>62</v>
      </c>
    </row>
    <row r="114" spans="1:14" ht="22.65" customHeight="1" x14ac:dyDescent="0.45">
      <c r="A114" s="13" t="str">
        <f t="shared" si="3"/>
        <v>☐</v>
      </c>
      <c r="B114" s="14" t="s">
        <v>433</v>
      </c>
      <c r="C114" s="4" t="s">
        <v>41</v>
      </c>
      <c r="D114" s="4" t="s">
        <v>434</v>
      </c>
      <c r="E114" s="15" t="s">
        <v>435</v>
      </c>
      <c r="F114" s="15" t="s">
        <v>436</v>
      </c>
      <c r="G114" s="15" t="s">
        <v>3</v>
      </c>
      <c r="H114" s="4" t="s">
        <v>9</v>
      </c>
      <c r="I114" s="15" t="s">
        <v>14</v>
      </c>
      <c r="J114" s="4" t="s">
        <v>62</v>
      </c>
      <c r="K114" s="16" t="s">
        <v>0</v>
      </c>
      <c r="L114" s="16" t="s">
        <v>62</v>
      </c>
      <c r="M114" s="17" t="s">
        <v>62</v>
      </c>
      <c r="N114" s="4" t="s">
        <v>62</v>
      </c>
    </row>
  </sheetData>
  <mergeCells count="2">
    <mergeCell ref="A2:N3"/>
    <mergeCell ref="A1:N1"/>
  </mergeCells>
  <conditionalFormatting sqref="H6:H114">
    <cfRule type="expression" dxfId="65" priority="5">
      <formula>$H6="Critical"</formula>
    </cfRule>
    <cfRule type="expression" dxfId="64" priority="6">
      <formula>$H6="High"</formula>
    </cfRule>
    <cfRule type="expression" dxfId="63" priority="7">
      <formula>$H6="Low"</formula>
    </cfRule>
  </conditionalFormatting>
  <conditionalFormatting sqref="K6:K114">
    <cfRule type="expression" dxfId="62" priority="1">
      <formula>$K6="Done"</formula>
    </cfRule>
    <cfRule type="expression" dxfId="61" priority="2">
      <formula>$K6="In Progress"</formula>
    </cfRule>
    <cfRule type="expression" dxfId="60" priority="3">
      <formula>$K6="Blocked"</formula>
    </cfRule>
    <cfRule type="expression" dxfId="59" priority="4">
      <formula>$K6="Not Started"</formula>
    </cfRule>
  </conditionalFormatting>
  <dataValidations count="1">
    <dataValidation type="date" allowBlank="1" sqref="M6:M114" xr:uid="{00000000-0002-0000-0200-000004000000}">
      <formula1>DATE(2025,1,1)</formula1>
      <formula2>DATE(2035,12,31)</formula2>
    </dataValidation>
  </dataValidation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Lists!$A$1:$A$5</xm:f>
          </x14:formula1>
          <xm:sqref>K6:K114</xm:sqref>
        </x14:dataValidation>
        <x14:dataValidation type="list" allowBlank="1" xr:uid="{00000000-0002-0000-0200-000001000000}">
          <x14:formula1>
            <xm:f>Lists!$B$1:$B$4</xm:f>
          </x14:formula1>
          <xm:sqref>H6:H114</xm:sqref>
        </x14:dataValidation>
        <x14:dataValidation type="list" allowBlank="1" xr:uid="{00000000-0002-0000-0200-000002000000}">
          <x14:formula1>
            <xm:f>Lists!$C$1:$C$4</xm:f>
          </x14:formula1>
          <xm:sqref>I6:I114</xm:sqref>
        </x14:dataValidation>
        <x14:dataValidation type="list" allowBlank="1" xr:uid="{00000000-0002-0000-0200-000003000000}">
          <x14:formula1>
            <xm:f>Lists!$D$1:$D$6</xm:f>
          </x14:formula1>
          <xm:sqref>G6:G114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topLeftCell="A16" workbookViewId="0">
      <selection sqref="A1:N1"/>
    </sheetView>
  </sheetViews>
  <sheetFormatPr defaultRowHeight="14.5" x14ac:dyDescent="0.35"/>
  <cols>
    <col min="1" max="2" width="11" customWidth="1"/>
    <col min="3" max="3" width="18" customWidth="1"/>
    <col min="4" max="4" width="20" customWidth="1"/>
    <col min="5" max="5" width="36" customWidth="1"/>
    <col min="6" max="6" width="44" customWidth="1"/>
    <col min="7" max="7" width="24" customWidth="1"/>
    <col min="8" max="8" width="11" customWidth="1"/>
    <col min="9" max="9" width="26" customWidth="1"/>
    <col min="10" max="10" width="15" customWidth="1"/>
    <col min="11" max="11" width="14" customWidth="1"/>
    <col min="12" max="12" width="16" customWidth="1"/>
    <col min="13" max="13" width="13" customWidth="1"/>
    <col min="14" max="14" width="24" customWidth="1"/>
  </cols>
  <sheetData>
    <row r="1" spans="1:14" ht="16" customHeight="1" x14ac:dyDescent="0.35">
      <c r="A1" s="27" t="s">
        <v>437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65" customHeight="1" x14ac:dyDescent="0.35">
      <c r="A2" s="26" t="s">
        <v>438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ht="17.399999999999999" customHeight="1" x14ac:dyDescent="0.35">
      <c r="A5" s="3" t="s">
        <v>45</v>
      </c>
      <c r="B5" s="3" t="s">
        <v>46</v>
      </c>
      <c r="C5" s="3" t="s">
        <v>32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ht="22.65" customHeight="1" x14ac:dyDescent="0.45">
      <c r="A6" s="13" t="str">
        <f>IF('Master Tracker'!A6="","",'Master Tracker'!A6)</f>
        <v>☐</v>
      </c>
      <c r="B6" s="14" t="str">
        <f>IF('Master Tracker'!B6="","",'Master Tracker'!B6)</f>
        <v>T-001</v>
      </c>
      <c r="C6" s="4" t="str">
        <f>IF('Master Tracker'!C6="","",'Master Tracker'!C6)</f>
        <v>Data Model</v>
      </c>
      <c r="D6" s="4" t="str">
        <f>IF('Master Tracker'!D6="","",'Master Tracker'!D6)</f>
        <v>Core Entities</v>
      </c>
      <c r="E6" s="15" t="str">
        <f>IF('Master Tracker'!E6="","",'Master Tracker'!E6)</f>
        <v>Define master ID strategy and audit fields across all tables</v>
      </c>
      <c r="F6" s="15" t="str">
        <f>IF('Master Tracker'!F6="","",'Master Tracker'!F6)</f>
        <v>Common primary keys, created/updated timestamps, soft delete and source tracking</v>
      </c>
      <c r="G6" s="15" t="str">
        <f>IF('Master Tracker'!G6="","",'Master Tracker'!G6)</f>
        <v>All</v>
      </c>
      <c r="H6" s="4" t="str">
        <f>IF('Master Tracker'!H6="","",'Master Tracker'!H6)</f>
        <v>Critical</v>
      </c>
      <c r="I6" s="15" t="str">
        <f>IF('Master Tracker'!I6="","",'Master Tracker'!I6)</f>
        <v>Phase 1 - Foundation</v>
      </c>
      <c r="J6" s="4" t="str">
        <f>IF('Master Tracker'!J6="","",'Master Tracker'!J6)</f>
        <v/>
      </c>
      <c r="K6" s="4" t="str">
        <f>IF('Master Tracker'!K6="","",'Master Tracker'!K6)</f>
        <v>Not Started</v>
      </c>
      <c r="L6" s="4" t="str">
        <f>IF('Master Tracker'!L6="","",'Master Tracker'!L6)</f>
        <v/>
      </c>
      <c r="M6" s="18" t="str">
        <f>IF('Master Tracker'!M6="","",'Master Tracker'!M6)</f>
        <v/>
      </c>
      <c r="N6" s="4" t="str">
        <f>IF('Master Tracker'!N6="","",'Master Tracker'!N6)</f>
        <v/>
      </c>
    </row>
    <row r="7" spans="1:14" ht="22.65" customHeight="1" x14ac:dyDescent="0.45">
      <c r="A7" s="13" t="str">
        <f>IF('Master Tracker'!A7="","",'Master Tracker'!A7)</f>
        <v>☐</v>
      </c>
      <c r="B7" s="14" t="str">
        <f>IF('Master Tracker'!B7="","",'Master Tracker'!B7)</f>
        <v>T-002</v>
      </c>
      <c r="C7" s="4" t="str">
        <f>IF('Master Tracker'!C7="","",'Master Tracker'!C7)</f>
        <v>Data Model</v>
      </c>
      <c r="D7" s="4" t="str">
        <f>IF('Master Tracker'!D7="","",'Master Tracker'!D7)</f>
        <v>Core Entities</v>
      </c>
      <c r="E7" s="15" t="str">
        <f>IF('Master Tracker'!E7="","",'Master Tracker'!E7)</f>
        <v>Create Riders entity and base profile fields</v>
      </c>
      <c r="F7" s="15" t="str">
        <f>IF('Master Tracker'!F7="","",'Master Tracker'!F7)</f>
        <v>Personal details, license, visa, bank, status and rider category</v>
      </c>
      <c r="G7" s="15" t="str">
        <f>IF('Master Tracker'!G7="","",'Master Tracker'!G7)</f>
        <v>All</v>
      </c>
      <c r="H7" s="4" t="str">
        <f>IF('Master Tracker'!H7="","",'Master Tracker'!H7)</f>
        <v>Critical</v>
      </c>
      <c r="I7" s="15" t="str">
        <f>IF('Master Tracker'!I7="","",'Master Tracker'!I7)</f>
        <v>Phase 1 - Foundation</v>
      </c>
      <c r="J7" s="4" t="str">
        <f>IF('Master Tracker'!J7="","",'Master Tracker'!J7)</f>
        <v/>
      </c>
      <c r="K7" s="4" t="str">
        <f>IF('Master Tracker'!K7="","",'Master Tracker'!K7)</f>
        <v>Not Started</v>
      </c>
      <c r="L7" s="4" t="str">
        <f>IF('Master Tracker'!L7="","",'Master Tracker'!L7)</f>
        <v/>
      </c>
      <c r="M7" s="18" t="str">
        <f>IF('Master Tracker'!M7="","",'Master Tracker'!M7)</f>
        <v/>
      </c>
      <c r="N7" s="4" t="str">
        <f>IF('Master Tracker'!N7="","",'Master Tracker'!N7)</f>
        <v/>
      </c>
    </row>
    <row r="8" spans="1:14" ht="22.65" customHeight="1" x14ac:dyDescent="0.45">
      <c r="A8" s="13" t="str">
        <f>IF('Master Tracker'!A8="","",'Master Tracker'!A8)</f>
        <v>☐</v>
      </c>
      <c r="B8" s="14" t="str">
        <f>IF('Master Tracker'!B8="","",'Master Tracker'!B8)</f>
        <v>T-003</v>
      </c>
      <c r="C8" s="4" t="str">
        <f>IF('Master Tracker'!C8="","",'Master Tracker'!C8)</f>
        <v>Data Model</v>
      </c>
      <c r="D8" s="4" t="str">
        <f>IF('Master Tracker'!D8="","",'Master Tracker'!D8)</f>
        <v>Core Entities</v>
      </c>
      <c r="E8" s="15" t="str">
        <f>IF('Master Tracker'!E8="","",'Master Tracker'!E8)</f>
        <v>Create Vehicles entity with mixed-fleet attributes</v>
      </c>
      <c r="F8" s="15" t="str">
        <f>IF('Master Tracker'!F8="","",'Master Tracker'!F8)</f>
        <v>Plate, make/model, status, compliance dates and current assignment</v>
      </c>
      <c r="G8" s="15" t="str">
        <f>IF('Master Tracker'!G8="","",'Master Tracker'!G8)</f>
        <v>All</v>
      </c>
      <c r="H8" s="4" t="str">
        <f>IF('Master Tracker'!H8="","",'Master Tracker'!H8)</f>
        <v>Critical</v>
      </c>
      <c r="I8" s="15" t="str">
        <f>IF('Master Tracker'!I8="","",'Master Tracker'!I8)</f>
        <v>Phase 1 - Foundation</v>
      </c>
      <c r="J8" s="4" t="str">
        <f>IF('Master Tracker'!J8="","",'Master Tracker'!J8)</f>
        <v/>
      </c>
      <c r="K8" s="4" t="str">
        <f>IF('Master Tracker'!K8="","",'Master Tracker'!K8)</f>
        <v>Not Started</v>
      </c>
      <c r="L8" s="4" t="str">
        <f>IF('Master Tracker'!L8="","",'Master Tracker'!L8)</f>
        <v/>
      </c>
      <c r="M8" s="18" t="str">
        <f>IF('Master Tracker'!M8="","",'Master Tracker'!M8)</f>
        <v/>
      </c>
      <c r="N8" s="4" t="str">
        <f>IF('Master Tracker'!N8="","",'Master Tracker'!N8)</f>
        <v/>
      </c>
    </row>
    <row r="9" spans="1:14" ht="22.65" customHeight="1" x14ac:dyDescent="0.45">
      <c r="A9" s="13" t="str">
        <f>IF('Master Tracker'!A9="","",'Master Tracker'!A9)</f>
        <v>☐</v>
      </c>
      <c r="B9" s="14" t="str">
        <f>IF('Master Tracker'!B9="","",'Master Tracker'!B9)</f>
        <v>T-004</v>
      </c>
      <c r="C9" s="4" t="str">
        <f>IF('Master Tracker'!C9="","",'Master Tracker'!C9)</f>
        <v>Data Model</v>
      </c>
      <c r="D9" s="4" t="str">
        <f>IF('Master Tracker'!D9="","",'Master Tracker'!D9)</f>
        <v>Mixed Fleet Logic</v>
      </c>
      <c r="E9" s="15" t="str">
        <f>IF('Master Tracker'!E9="","",'Master Tracker'!E9)</f>
        <v>Add vehicle_source_type enumeration</v>
      </c>
      <c r="F9" s="15" t="str">
        <f>IF('Master Tracker'!F9="","",'Master Tracker'!F9)</f>
        <v>RENTED_BY_COMPANY, OWNED_BY_COMPANY, RIDER_OWNED</v>
      </c>
      <c r="G9" s="15" t="str">
        <f>IF('Master Tracker'!G9="","",'Master Tracker'!G9)</f>
        <v>All</v>
      </c>
      <c r="H9" s="4" t="str">
        <f>IF('Master Tracker'!H9="","",'Master Tracker'!H9)</f>
        <v>Critical</v>
      </c>
      <c r="I9" s="15" t="str">
        <f>IF('Master Tracker'!I9="","",'Master Tracker'!I9)</f>
        <v>Phase 1 - Foundation</v>
      </c>
      <c r="J9" s="4" t="str">
        <f>IF('Master Tracker'!J9="","",'Master Tracker'!J9)</f>
        <v/>
      </c>
      <c r="K9" s="4" t="str">
        <f>IF('Master Tracker'!K9="","",'Master Tracker'!K9)</f>
        <v>Not Started</v>
      </c>
      <c r="L9" s="4" t="str">
        <f>IF('Master Tracker'!L9="","",'Master Tracker'!L9)</f>
        <v/>
      </c>
      <c r="M9" s="18" t="str">
        <f>IF('Master Tracker'!M9="","",'Master Tracker'!M9)</f>
        <v/>
      </c>
      <c r="N9" s="4" t="str">
        <f>IF('Master Tracker'!N9="","",'Master Tracker'!N9)</f>
        <v/>
      </c>
    </row>
    <row r="10" spans="1:14" ht="22.65" customHeight="1" x14ac:dyDescent="0.45">
      <c r="A10" s="13" t="str">
        <f>IF('Master Tracker'!A10="","",'Master Tracker'!A10)</f>
        <v>☐</v>
      </c>
      <c r="B10" s="14" t="str">
        <f>IF('Master Tracker'!B10="","",'Master Tracker'!B10)</f>
        <v>T-005</v>
      </c>
      <c r="C10" s="4" t="str">
        <f>IF('Master Tracker'!C10="","",'Master Tracker'!C10)</f>
        <v>Data Model</v>
      </c>
      <c r="D10" s="4" t="str">
        <f>IF('Master Tracker'!D10="","",'Master Tracker'!D10)</f>
        <v>Mixed Fleet Logic</v>
      </c>
      <c r="E10" s="15" t="str">
        <f>IF('Master Tracker'!E10="","",'Master Tracker'!E10)</f>
        <v>Create Vehicle_Source_Details entity</v>
      </c>
      <c r="F10" s="15" t="str">
        <f>IF('Master Tracker'!F10="","",'Master Tracker'!F10)</f>
        <v>Ownership, supplier, purchase/rent cost, responsibilities and contract dates</v>
      </c>
      <c r="G10" s="15" t="str">
        <f>IF('Master Tracker'!G10="","",'Master Tracker'!G10)</f>
        <v>All (varies by source type)</v>
      </c>
      <c r="H10" s="4" t="str">
        <f>IF('Master Tracker'!H10="","",'Master Tracker'!H10)</f>
        <v>Critical</v>
      </c>
      <c r="I10" s="15" t="str">
        <f>IF('Master Tracker'!I10="","",'Master Tracker'!I10)</f>
        <v>Phase 1 - Foundation</v>
      </c>
      <c r="J10" s="4" t="str">
        <f>IF('Master Tracker'!J10="","",'Master Tracker'!J10)</f>
        <v/>
      </c>
      <c r="K10" s="4" t="str">
        <f>IF('Master Tracker'!K10="","",'Master Tracker'!K10)</f>
        <v>Not Started</v>
      </c>
      <c r="L10" s="4" t="str">
        <f>IF('Master Tracker'!L10="","",'Master Tracker'!L10)</f>
        <v/>
      </c>
      <c r="M10" s="18" t="str">
        <f>IF('Master Tracker'!M10="","",'Master Tracker'!M10)</f>
        <v/>
      </c>
      <c r="N10" s="4" t="str">
        <f>IF('Master Tracker'!N10="","",'Master Tracker'!N10)</f>
        <v/>
      </c>
    </row>
    <row r="11" spans="1:14" ht="22.65" customHeight="1" x14ac:dyDescent="0.45">
      <c r="A11" s="13" t="str">
        <f>IF('Master Tracker'!A11="","",'Master Tracker'!A11)</f>
        <v>☐</v>
      </c>
      <c r="B11" s="14" t="str">
        <f>IF('Master Tracker'!B11="","",'Master Tracker'!B11)</f>
        <v>T-006</v>
      </c>
      <c r="C11" s="4" t="str">
        <f>IF('Master Tracker'!C11="","",'Master Tracker'!C11)</f>
        <v>Data Model</v>
      </c>
      <c r="D11" s="4" t="str">
        <f>IF('Master Tracker'!D11="","",'Master Tracker'!D11)</f>
        <v>Assignments</v>
      </c>
      <c r="E11" s="15" t="str">
        <f>IF('Master Tracker'!E11="","",'Master Tracker'!E11)</f>
        <v>Create Rider_Vehicle_Assignments history table</v>
      </c>
      <c r="F11" s="15" t="str">
        <f>IF('Master Tracker'!F11="","",'Master Tracker'!F11)</f>
        <v>Track assignment start/end, aggregator, client and reason for reassignment</v>
      </c>
      <c r="G11" s="15" t="str">
        <f>IF('Master Tracker'!G11="","",'Master Tracker'!G11)</f>
        <v>All</v>
      </c>
      <c r="H11" s="4" t="str">
        <f>IF('Master Tracker'!H11="","",'Master Tracker'!H11)</f>
        <v>Critical</v>
      </c>
      <c r="I11" s="15" t="str">
        <f>IF('Master Tracker'!I11="","",'Master Tracker'!I11)</f>
        <v>Phase 1 - Foundation</v>
      </c>
      <c r="J11" s="4" t="str">
        <f>IF('Master Tracker'!J11="","",'Master Tracker'!J11)</f>
        <v/>
      </c>
      <c r="K11" s="4" t="str">
        <f>IF('Master Tracker'!K11="","",'Master Tracker'!K11)</f>
        <v>Not Started</v>
      </c>
      <c r="L11" s="4" t="str">
        <f>IF('Master Tracker'!L11="","",'Master Tracker'!L11)</f>
        <v/>
      </c>
      <c r="M11" s="18" t="str">
        <f>IF('Master Tracker'!M11="","",'Master Tracker'!M11)</f>
        <v/>
      </c>
      <c r="N11" s="4" t="str">
        <f>IF('Master Tracker'!N11="","",'Master Tracker'!N11)</f>
        <v/>
      </c>
    </row>
    <row r="12" spans="1:14" ht="22.65" customHeight="1" x14ac:dyDescent="0.45">
      <c r="A12" s="13" t="str">
        <f>IF('Master Tracker'!A12="","",'Master Tracker'!A12)</f>
        <v>☐</v>
      </c>
      <c r="B12" s="14" t="str">
        <f>IF('Master Tracker'!B12="","",'Master Tracker'!B12)</f>
        <v>T-007</v>
      </c>
      <c r="C12" s="4" t="str">
        <f>IF('Master Tracker'!C12="","",'Master Tracker'!C12)</f>
        <v>Data Model</v>
      </c>
      <c r="D12" s="4" t="str">
        <f>IF('Master Tracker'!D12="","",'Master Tracker'!D12)</f>
        <v>Commercial Data</v>
      </c>
      <c r="E12" s="15" t="str">
        <f>IF('Master Tracker'!E12="","",'Master Tracker'!E12)</f>
        <v>Create Clients entity</v>
      </c>
      <c r="F12" s="15" t="str">
        <f>IF('Master Tracker'!F12="","",'Master Tracker'!F12)</f>
        <v>3PL customer / legal entity records for multi-client support</v>
      </c>
      <c r="G12" s="15" t="str">
        <f>IF('Master Tracker'!G12="","",'Master Tracker'!G12)</f>
        <v>All</v>
      </c>
      <c r="H12" s="4" t="str">
        <f>IF('Master Tracker'!H12="","",'Master Tracker'!H12)</f>
        <v>High</v>
      </c>
      <c r="I12" s="15" t="str">
        <f>IF('Master Tracker'!I12="","",'Master Tracker'!I12)</f>
        <v>Phase 1 - Foundation</v>
      </c>
      <c r="J12" s="4" t="str">
        <f>IF('Master Tracker'!J12="","",'Master Tracker'!J12)</f>
        <v/>
      </c>
      <c r="K12" s="4" t="str">
        <f>IF('Master Tracker'!K12="","",'Master Tracker'!K12)</f>
        <v>Not Started</v>
      </c>
      <c r="L12" s="4" t="str">
        <f>IF('Master Tracker'!L12="","",'Master Tracker'!L12)</f>
        <v/>
      </c>
      <c r="M12" s="18" t="str">
        <f>IF('Master Tracker'!M12="","",'Master Tracker'!M12)</f>
        <v/>
      </c>
      <c r="N12" s="4" t="str">
        <f>IF('Master Tracker'!N12="","",'Master Tracker'!N12)</f>
        <v/>
      </c>
    </row>
    <row r="13" spans="1:14" ht="22.65" customHeight="1" x14ac:dyDescent="0.45">
      <c r="A13" s="13" t="str">
        <f>IF('Master Tracker'!A13="","",'Master Tracker'!A13)</f>
        <v>☐</v>
      </c>
      <c r="B13" s="14" t="str">
        <f>IF('Master Tracker'!B13="","",'Master Tracker'!B13)</f>
        <v>T-008</v>
      </c>
      <c r="C13" s="4" t="str">
        <f>IF('Master Tracker'!C13="","",'Master Tracker'!C13)</f>
        <v>Data Model</v>
      </c>
      <c r="D13" s="4" t="str">
        <f>IF('Master Tracker'!D13="","",'Master Tracker'!D13)</f>
        <v>Commercial Data</v>
      </c>
      <c r="E13" s="15" t="str">
        <f>IF('Master Tracker'!E13="","",'Master Tracker'!E13)</f>
        <v>Create Aggregators entity</v>
      </c>
      <c r="F13" s="15" t="str">
        <f>IF('Master Tracker'!F13="","",'Master Tracker'!F13)</f>
        <v>Talabat, Jahez, Keeta and any future partner configuration</v>
      </c>
      <c r="G13" s="15" t="str">
        <f>IF('Master Tracker'!G13="","",'Master Tracker'!G13)</f>
        <v>All</v>
      </c>
      <c r="H13" s="4" t="str">
        <f>IF('Master Tracker'!H13="","",'Master Tracker'!H13)</f>
        <v>Critical</v>
      </c>
      <c r="I13" s="15" t="str">
        <f>IF('Master Tracker'!I13="","",'Master Tracker'!I13)</f>
        <v>Phase 1 - Foundation</v>
      </c>
      <c r="J13" s="4" t="str">
        <f>IF('Master Tracker'!J13="","",'Master Tracker'!J13)</f>
        <v/>
      </c>
      <c r="K13" s="4" t="str">
        <f>IF('Master Tracker'!K13="","",'Master Tracker'!K13)</f>
        <v>Not Started</v>
      </c>
      <c r="L13" s="4" t="str">
        <f>IF('Master Tracker'!L13="","",'Master Tracker'!L13)</f>
        <v/>
      </c>
      <c r="M13" s="18" t="str">
        <f>IF('Master Tracker'!M13="","",'Master Tracker'!M13)</f>
        <v/>
      </c>
      <c r="N13" s="4" t="str">
        <f>IF('Master Tracker'!N13="","",'Master Tracker'!N13)</f>
        <v/>
      </c>
    </row>
    <row r="14" spans="1:14" ht="22.65" customHeight="1" x14ac:dyDescent="0.45">
      <c r="A14" s="13" t="str">
        <f>IF('Master Tracker'!A14="","",'Master Tracker'!A14)</f>
        <v>☐</v>
      </c>
      <c r="B14" s="14" t="str">
        <f>IF('Master Tracker'!B14="","",'Master Tracker'!B14)</f>
        <v>T-009</v>
      </c>
      <c r="C14" s="4" t="str">
        <f>IF('Master Tracker'!C14="","",'Master Tracker'!C14)</f>
        <v>Data Model</v>
      </c>
      <c r="D14" s="4" t="str">
        <f>IF('Master Tracker'!D14="","",'Master Tracker'!D14)</f>
        <v>Commercial Data</v>
      </c>
      <c r="E14" s="15" t="str">
        <f>IF('Master Tracker'!E14="","",'Master Tracker'!E14)</f>
        <v>Create Contracts entity</v>
      </c>
      <c r="F14" s="15" t="str">
        <f>IF('Master Tracker'!F14="","",'Master Tracker'!F14)</f>
        <v>Rates, validity dates, billing terms and service rules by client / aggregator</v>
      </c>
      <c r="G14" s="15" t="str">
        <f>IF('Master Tracker'!G14="","",'Master Tracker'!G14)</f>
        <v>All</v>
      </c>
      <c r="H14" s="4" t="str">
        <f>IF('Master Tracker'!H14="","",'Master Tracker'!H14)</f>
        <v>Critical</v>
      </c>
      <c r="I14" s="15" t="str">
        <f>IF('Master Tracker'!I14="","",'Master Tracker'!I14)</f>
        <v>Phase 2 - Core Operations</v>
      </c>
      <c r="J14" s="4" t="str">
        <f>IF('Master Tracker'!J14="","",'Master Tracker'!J14)</f>
        <v/>
      </c>
      <c r="K14" s="4" t="str">
        <f>IF('Master Tracker'!K14="","",'Master Tracker'!K14)</f>
        <v>Not Started</v>
      </c>
      <c r="L14" s="4" t="str">
        <f>IF('Master Tracker'!L14="","",'Master Tracker'!L14)</f>
        <v/>
      </c>
      <c r="M14" s="18" t="str">
        <f>IF('Master Tracker'!M14="","",'Master Tracker'!M14)</f>
        <v/>
      </c>
      <c r="N14" s="4" t="str">
        <f>IF('Master Tracker'!N14="","",'Master Tracker'!N14)</f>
        <v/>
      </c>
    </row>
    <row r="15" spans="1:14" ht="22.65" customHeight="1" x14ac:dyDescent="0.45">
      <c r="A15" s="13" t="str">
        <f>IF('Master Tracker'!A15="","",'Master Tracker'!A15)</f>
        <v>☐</v>
      </c>
      <c r="B15" s="14" t="str">
        <f>IF('Master Tracker'!B15="","",'Master Tracker'!B15)</f>
        <v>T-010</v>
      </c>
      <c r="C15" s="4" t="str">
        <f>IF('Master Tracker'!C15="","",'Master Tracker'!C15)</f>
        <v>Data Model</v>
      </c>
      <c r="D15" s="4" t="str">
        <f>IF('Master Tracker'!D15="","",'Master Tracker'!D15)</f>
        <v>Operations Data</v>
      </c>
      <c r="E15" s="15" t="str">
        <f>IF('Master Tracker'!E15="","",'Master Tracker'!E15)</f>
        <v>Create Shifts entity</v>
      </c>
      <c r="F15" s="15" t="str">
        <f>IF('Master Tracker'!F15="","",'Master Tracker'!F15)</f>
        <v>Shift types, scheduled hours, attendance linkage and allocation rules</v>
      </c>
      <c r="G15" s="15" t="str">
        <f>IF('Master Tracker'!G15="","",'Master Tracker'!G15)</f>
        <v>All</v>
      </c>
      <c r="H15" s="4" t="str">
        <f>IF('Master Tracker'!H15="","",'Master Tracker'!H15)</f>
        <v>High</v>
      </c>
      <c r="I15" s="15" t="str">
        <f>IF('Master Tracker'!I15="","",'Master Tracker'!I15)</f>
        <v>Phase 2 - Core Operations</v>
      </c>
      <c r="J15" s="4" t="str">
        <f>IF('Master Tracker'!J15="","",'Master Tracker'!J15)</f>
        <v/>
      </c>
      <c r="K15" s="4" t="str">
        <f>IF('Master Tracker'!K15="","",'Master Tracker'!K15)</f>
        <v>Not Started</v>
      </c>
      <c r="L15" s="4" t="str">
        <f>IF('Master Tracker'!L15="","",'Master Tracker'!L15)</f>
        <v/>
      </c>
      <c r="M15" s="18" t="str">
        <f>IF('Master Tracker'!M15="","",'Master Tracker'!M15)</f>
        <v/>
      </c>
      <c r="N15" s="4" t="str">
        <f>IF('Master Tracker'!N15="","",'Master Tracker'!N15)</f>
        <v/>
      </c>
    </row>
    <row r="16" spans="1:14" ht="22.65" customHeight="1" x14ac:dyDescent="0.45">
      <c r="A16" s="13" t="str">
        <f>IF('Master Tracker'!A16="","",'Master Tracker'!A16)</f>
        <v>☐</v>
      </c>
      <c r="B16" s="14" t="str">
        <f>IF('Master Tracker'!B16="","",'Master Tracker'!B16)</f>
        <v>T-011</v>
      </c>
      <c r="C16" s="4" t="str">
        <f>IF('Master Tracker'!C16="","",'Master Tracker'!C16)</f>
        <v>Data Model</v>
      </c>
      <c r="D16" s="4" t="str">
        <f>IF('Master Tracker'!D16="","",'Master Tracker'!D16)</f>
        <v>Operations Data</v>
      </c>
      <c r="E16" s="15" t="str">
        <f>IF('Master Tracker'!E16="","",'Master Tracker'!E16)</f>
        <v>Create Attendance entity</v>
      </c>
      <c r="F16" s="15" t="str">
        <f>IF('Master Tracker'!F16="","",'Master Tracker'!F16)</f>
        <v>GPS check-in/out, worked hours, exceptions and approval status</v>
      </c>
      <c r="G16" s="15" t="str">
        <f>IF('Master Tracker'!G16="","",'Master Tracker'!G16)</f>
        <v>All</v>
      </c>
      <c r="H16" s="4" t="str">
        <f>IF('Master Tracker'!H16="","",'Master Tracker'!H16)</f>
        <v>Critical</v>
      </c>
      <c r="I16" s="15" t="str">
        <f>IF('Master Tracker'!I16="","",'Master Tracker'!I16)</f>
        <v>Phase 2 - Core Operations</v>
      </c>
      <c r="J16" s="4" t="str">
        <f>IF('Master Tracker'!J16="","",'Master Tracker'!J16)</f>
        <v/>
      </c>
      <c r="K16" s="4" t="str">
        <f>IF('Master Tracker'!K16="","",'Master Tracker'!K16)</f>
        <v>Not Started</v>
      </c>
      <c r="L16" s="4" t="str">
        <f>IF('Master Tracker'!L16="","",'Master Tracker'!L16)</f>
        <v/>
      </c>
      <c r="M16" s="18" t="str">
        <f>IF('Master Tracker'!M16="","",'Master Tracker'!M16)</f>
        <v/>
      </c>
      <c r="N16" s="4" t="str">
        <f>IF('Master Tracker'!N16="","",'Master Tracker'!N16)</f>
        <v/>
      </c>
    </row>
    <row r="17" spans="1:14" ht="22.65" customHeight="1" x14ac:dyDescent="0.45">
      <c r="A17" s="13" t="str">
        <f>IF('Master Tracker'!A17="","",'Master Tracker'!A17)</f>
        <v>☐</v>
      </c>
      <c r="B17" s="14" t="str">
        <f>IF('Master Tracker'!B17="","",'Master Tracker'!B17)</f>
        <v>T-012</v>
      </c>
      <c r="C17" s="4" t="str">
        <f>IF('Master Tracker'!C17="","",'Master Tracker'!C17)</f>
        <v>Data Model</v>
      </c>
      <c r="D17" s="4" t="str">
        <f>IF('Master Tracker'!D17="","",'Master Tracker'!D17)</f>
        <v>Operations Data</v>
      </c>
      <c r="E17" s="15" t="str">
        <f>IF('Master Tracker'!E17="","",'Master Tracker'!E17)</f>
        <v>Create Orders entity</v>
      </c>
      <c r="F17" s="15" t="str">
        <f>IF('Master Tracker'!F17="","",'Master Tracker'!F17)</f>
        <v>External order ID, rider, vehicle, distance, revenue, payout and source import batch</v>
      </c>
      <c r="G17" s="15" t="str">
        <f>IF('Master Tracker'!G17="","",'Master Tracker'!G17)</f>
        <v>All</v>
      </c>
      <c r="H17" s="4" t="str">
        <f>IF('Master Tracker'!H17="","",'Master Tracker'!H17)</f>
        <v>Critical</v>
      </c>
      <c r="I17" s="15" t="str">
        <f>IF('Master Tracker'!I17="","",'Master Tracker'!I17)</f>
        <v>Phase 2 - Core Operations</v>
      </c>
      <c r="J17" s="4" t="str">
        <f>IF('Master Tracker'!J17="","",'Master Tracker'!J17)</f>
        <v/>
      </c>
      <c r="K17" s="4" t="str">
        <f>IF('Master Tracker'!K17="","",'Master Tracker'!K17)</f>
        <v>Not Started</v>
      </c>
      <c r="L17" s="4" t="str">
        <f>IF('Master Tracker'!L17="","",'Master Tracker'!L17)</f>
        <v/>
      </c>
      <c r="M17" s="18" t="str">
        <f>IF('Master Tracker'!M17="","",'Master Tracker'!M17)</f>
        <v/>
      </c>
      <c r="N17" s="4" t="str">
        <f>IF('Master Tracker'!N17="","",'Master Tracker'!N17)</f>
        <v/>
      </c>
    </row>
    <row r="18" spans="1:14" ht="22.65" customHeight="1" x14ac:dyDescent="0.45">
      <c r="A18" s="13" t="str">
        <f>IF('Master Tracker'!A18="","",'Master Tracker'!A18)</f>
        <v>☐</v>
      </c>
      <c r="B18" s="14" t="str">
        <f>IF('Master Tracker'!B18="","",'Master Tracker'!B18)</f>
        <v>T-013</v>
      </c>
      <c r="C18" s="4" t="str">
        <f>IF('Master Tracker'!C18="","",'Master Tracker'!C18)</f>
        <v>Data Model</v>
      </c>
      <c r="D18" s="4" t="str">
        <f>IF('Master Tracker'!D18="","",'Master Tracker'!D18)</f>
        <v>Fleet Data</v>
      </c>
      <c r="E18" s="15" t="str">
        <f>IF('Master Tracker'!E18="","",'Master Tracker'!E18)</f>
        <v>Create Maintenance_Events entity</v>
      </c>
      <c r="F18" s="15" t="str">
        <f>IF('Master Tracker'!F18="","",'Master Tracker'!F18)</f>
        <v>Service/repair/accident records with paid_by and recovered_from fields</v>
      </c>
      <c r="G18" s="15" t="str">
        <f>IF('Master Tracker'!G18="","",'Master Tracker'!G18)</f>
        <v>All (varies by source type)</v>
      </c>
      <c r="H18" s="4" t="str">
        <f>IF('Master Tracker'!H18="","",'Master Tracker'!H18)</f>
        <v>Critical</v>
      </c>
      <c r="I18" s="15" t="str">
        <f>IF('Master Tracker'!I18="","",'Master Tracker'!I18)</f>
        <v>Phase 3 - Finance &amp; Control</v>
      </c>
      <c r="J18" s="4" t="str">
        <f>IF('Master Tracker'!J18="","",'Master Tracker'!J18)</f>
        <v/>
      </c>
      <c r="K18" s="4" t="str">
        <f>IF('Master Tracker'!K18="","",'Master Tracker'!K18)</f>
        <v>Not Started</v>
      </c>
      <c r="L18" s="4" t="str">
        <f>IF('Master Tracker'!L18="","",'Master Tracker'!L18)</f>
        <v/>
      </c>
      <c r="M18" s="18" t="str">
        <f>IF('Master Tracker'!M18="","",'Master Tracker'!M18)</f>
        <v/>
      </c>
      <c r="N18" s="4" t="str">
        <f>IF('Master Tracker'!N18="","",'Master Tracker'!N18)</f>
        <v/>
      </c>
    </row>
    <row r="19" spans="1:14" ht="22.65" customHeight="1" x14ac:dyDescent="0.45">
      <c r="A19" s="13" t="str">
        <f>IF('Master Tracker'!A19="","",'Master Tracker'!A19)</f>
        <v>☐</v>
      </c>
      <c r="B19" s="14" t="str">
        <f>IF('Master Tracker'!B19="","",'Master Tracker'!B19)</f>
        <v>T-014</v>
      </c>
      <c r="C19" s="4" t="str">
        <f>IF('Master Tracker'!C19="","",'Master Tracker'!C19)</f>
        <v>Data Model</v>
      </c>
      <c r="D19" s="4" t="str">
        <f>IF('Master Tracker'!D19="","",'Master Tracker'!D19)</f>
        <v>Finance Data</v>
      </c>
      <c r="E19" s="15" t="str">
        <f>IF('Master Tracker'!E19="","",'Master Tracker'!E19)</f>
        <v>Create Payroll entity</v>
      </c>
      <c r="F19" s="15" t="str">
        <f>IF('Master Tracker'!F19="","",'Master Tracker'!F19)</f>
        <v>Fixed pay, per-order pay, allowances, deductions, advances and net pay</v>
      </c>
      <c r="G19" s="15" t="str">
        <f>IF('Master Tracker'!G19="","",'Master Tracker'!G19)</f>
        <v>All (varies by source type)</v>
      </c>
      <c r="H19" s="4" t="str">
        <f>IF('Master Tracker'!H19="","",'Master Tracker'!H19)</f>
        <v>Critical</v>
      </c>
      <c r="I19" s="15" t="str">
        <f>IF('Master Tracker'!I19="","",'Master Tracker'!I19)</f>
        <v>Phase 3 - Finance &amp; Control</v>
      </c>
      <c r="J19" s="4" t="str">
        <f>IF('Master Tracker'!J19="","",'Master Tracker'!J19)</f>
        <v/>
      </c>
      <c r="K19" s="4" t="str">
        <f>IF('Master Tracker'!K19="","",'Master Tracker'!K19)</f>
        <v>Not Started</v>
      </c>
      <c r="L19" s="4" t="str">
        <f>IF('Master Tracker'!L19="","",'Master Tracker'!L19)</f>
        <v/>
      </c>
      <c r="M19" s="18" t="str">
        <f>IF('Master Tracker'!M19="","",'Master Tracker'!M19)</f>
        <v/>
      </c>
      <c r="N19" s="4" t="str">
        <f>IF('Master Tracker'!N19="","",'Master Tracker'!N19)</f>
        <v/>
      </c>
    </row>
    <row r="20" spans="1:14" ht="22.65" customHeight="1" x14ac:dyDescent="0.45">
      <c r="A20" s="13" t="str">
        <f>IF('Master Tracker'!A20="","",'Master Tracker'!A20)</f>
        <v>☐</v>
      </c>
      <c r="B20" s="14" t="str">
        <f>IF('Master Tracker'!B20="","",'Master Tracker'!B20)</f>
        <v>T-015</v>
      </c>
      <c r="C20" s="4" t="str">
        <f>IF('Master Tracker'!C20="","",'Master Tracker'!C20)</f>
        <v>Data Model</v>
      </c>
      <c r="D20" s="4" t="str">
        <f>IF('Master Tracker'!D20="","",'Master Tracker'!D20)</f>
        <v>Finance Data</v>
      </c>
      <c r="E20" s="15" t="str">
        <f>IF('Master Tracker'!E20="","",'Master Tracker'!E20)</f>
        <v>Create Finance_Ledger / cost allocation structure</v>
      </c>
      <c r="F20" s="15" t="str">
        <f>IF('Master Tracker'!F20="","",'Master Tracker'!F20)</f>
        <v>Map vehicle, rider, supplier and aggregator transactions for reporting</v>
      </c>
      <c r="G20" s="15" t="str">
        <f>IF('Master Tracker'!G20="","",'Master Tracker'!G20)</f>
        <v>All</v>
      </c>
      <c r="H20" s="4" t="str">
        <f>IF('Master Tracker'!H20="","",'Master Tracker'!H20)</f>
        <v>High</v>
      </c>
      <c r="I20" s="15" t="str">
        <f>IF('Master Tracker'!I20="","",'Master Tracker'!I20)</f>
        <v>Phase 3 - Finance &amp; Control</v>
      </c>
      <c r="J20" s="4" t="str">
        <f>IF('Master Tracker'!J20="","",'Master Tracker'!J20)</f>
        <v/>
      </c>
      <c r="K20" s="4" t="str">
        <f>IF('Master Tracker'!K20="","",'Master Tracker'!K20)</f>
        <v>Not Started</v>
      </c>
      <c r="L20" s="4" t="str">
        <f>IF('Master Tracker'!L20="","",'Master Tracker'!L20)</f>
        <v/>
      </c>
      <c r="M20" s="18" t="str">
        <f>IF('Master Tracker'!M20="","",'Master Tracker'!M20)</f>
        <v/>
      </c>
      <c r="N20" s="4" t="str">
        <f>IF('Master Tracker'!N20="","",'Master Tracker'!N20)</f>
        <v/>
      </c>
    </row>
    <row r="21" spans="1:14" ht="22.65" customHeight="1" x14ac:dyDescent="0.45">
      <c r="A21" s="13" t="str">
        <f>IF('Master Tracker'!A21="","",'Master Tracker'!A21)</f>
        <v>☐</v>
      </c>
      <c r="B21" s="14" t="str">
        <f>IF('Master Tracker'!B21="","",'Master Tracker'!B21)</f>
        <v>T-016</v>
      </c>
      <c r="C21" s="4" t="str">
        <f>IF('Master Tracker'!C21="","",'Master Tracker'!C21)</f>
        <v>Data Model</v>
      </c>
      <c r="D21" s="4" t="str">
        <f>IF('Master Tracker'!D21="","",'Master Tracker'!D21)</f>
        <v>Risk &amp; Controls</v>
      </c>
      <c r="E21" s="15" t="str">
        <f>IF('Master Tracker'!E21="","",'Master Tracker'!E21)</f>
        <v>Create Incidents / accidents entity</v>
      </c>
      <c r="F21" s="15" t="str">
        <f>IF('Master Tracker'!F21="","",'Master Tracker'!F21)</f>
        <v>Capture incident type, responsibility, cost recovery and downtime impact</v>
      </c>
      <c r="G21" s="15" t="str">
        <f>IF('Master Tracker'!G21="","",'Master Tracker'!G21)</f>
        <v>All</v>
      </c>
      <c r="H21" s="4" t="str">
        <f>IF('Master Tracker'!H21="","",'Master Tracker'!H21)</f>
        <v>High</v>
      </c>
      <c r="I21" s="15" t="str">
        <f>IF('Master Tracker'!I21="","",'Master Tracker'!I21)</f>
        <v>Phase 2 - Core Operations</v>
      </c>
      <c r="J21" s="4" t="str">
        <f>IF('Master Tracker'!J21="","",'Master Tracker'!J21)</f>
        <v/>
      </c>
      <c r="K21" s="4" t="str">
        <f>IF('Master Tracker'!K21="","",'Master Tracker'!K21)</f>
        <v>Not Started</v>
      </c>
      <c r="L21" s="4" t="str">
        <f>IF('Master Tracker'!L21="","",'Master Tracker'!L21)</f>
        <v/>
      </c>
      <c r="M21" s="18" t="str">
        <f>IF('Master Tracker'!M21="","",'Master Tracker'!M21)</f>
        <v/>
      </c>
      <c r="N21" s="4" t="str">
        <f>IF('Master Tracker'!N21="","",'Master Tracker'!N21)</f>
        <v/>
      </c>
    </row>
    <row r="22" spans="1:14" ht="22.65" customHeight="1" x14ac:dyDescent="0.45">
      <c r="A22" s="13" t="str">
        <f>IF('Master Tracker'!A22="","",'Master Tracker'!A22)</f>
        <v>☐</v>
      </c>
      <c r="B22" s="14" t="str">
        <f>IF('Master Tracker'!B22="","",'Master Tracker'!B22)</f>
        <v>T-017</v>
      </c>
      <c r="C22" s="4" t="str">
        <f>IF('Master Tracker'!C22="","",'Master Tracker'!C22)</f>
        <v>Data Model</v>
      </c>
      <c r="D22" s="4" t="str">
        <f>IF('Master Tracker'!D22="","",'Master Tracker'!D22)</f>
        <v>Risk &amp; Controls</v>
      </c>
      <c r="E22" s="15" t="str">
        <f>IF('Master Tracker'!E22="","",'Master Tracker'!E22)</f>
        <v>Define master status enums for riders, vehicles, orders and compliance</v>
      </c>
      <c r="F22" s="15" t="str">
        <f>IF('Master Tracker'!F22="","",'Master Tracker'!F22)</f>
        <v>Ensure controlled values and reusable logic across modules</v>
      </c>
      <c r="G22" s="15" t="str">
        <f>IF('Master Tracker'!G22="","",'Master Tracker'!G22)</f>
        <v>All</v>
      </c>
      <c r="H22" s="4" t="str">
        <f>IF('Master Tracker'!H22="","",'Master Tracker'!H22)</f>
        <v>High</v>
      </c>
      <c r="I22" s="15" t="str">
        <f>IF('Master Tracker'!I22="","",'Master Tracker'!I22)</f>
        <v>Phase 1 - Foundation</v>
      </c>
      <c r="J22" s="4" t="str">
        <f>IF('Master Tracker'!J22="","",'Master Tracker'!J22)</f>
        <v/>
      </c>
      <c r="K22" s="4" t="str">
        <f>IF('Master Tracker'!K22="","",'Master Tracker'!K22)</f>
        <v>Not Started</v>
      </c>
      <c r="L22" s="4" t="str">
        <f>IF('Master Tracker'!L22="","",'Master Tracker'!L22)</f>
        <v/>
      </c>
      <c r="M22" s="18" t="str">
        <f>IF('Master Tracker'!M22="","",'Master Tracker'!M22)</f>
        <v/>
      </c>
      <c r="N22" s="4" t="str">
        <f>IF('Master Tracker'!N22="","",'Master Tracker'!N22)</f>
        <v/>
      </c>
    </row>
    <row r="23" spans="1:14" ht="22.65" customHeight="1" x14ac:dyDescent="0.45">
      <c r="A23" s="13" t="str">
        <f>IF('Master Tracker'!A23="","",'Master Tracker'!A23)</f>
        <v>☐</v>
      </c>
      <c r="B23" s="14" t="str">
        <f>IF('Master Tracker'!B23="","",'Master Tracker'!B23)</f>
        <v>T-018</v>
      </c>
      <c r="C23" s="4" t="str">
        <f>IF('Master Tracker'!C23="","",'Master Tracker'!C23)</f>
        <v>Data Model</v>
      </c>
      <c r="D23" s="4" t="str">
        <f>IF('Master Tracker'!D23="","",'Master Tracker'!D23)</f>
        <v>Security</v>
      </c>
      <c r="E23" s="15" t="str">
        <f>IF('Master Tracker'!E23="","",'Master Tracker'!E23)</f>
        <v>Design user roles and permission matrix</v>
      </c>
      <c r="F23" s="15" t="str">
        <f>IF('Master Tracker'!F23="","",'Master Tracker'!F23)</f>
        <v>HR, Ops, Fleet, Finance, Compliance, Admin and Executive access rights</v>
      </c>
      <c r="G23" s="15" t="str">
        <f>IF('Master Tracker'!G23="","",'Master Tracker'!G23)</f>
        <v>All</v>
      </c>
      <c r="H23" s="4" t="str">
        <f>IF('Master Tracker'!H23="","",'Master Tracker'!H23)</f>
        <v>High</v>
      </c>
      <c r="I23" s="15" t="str">
        <f>IF('Master Tracker'!I23="","",'Master Tracker'!I23)</f>
        <v>Phase 1 - Foundation</v>
      </c>
      <c r="J23" s="4" t="str">
        <f>IF('Master Tracker'!J23="","",'Master Tracker'!J23)</f>
        <v/>
      </c>
      <c r="K23" s="4" t="str">
        <f>IF('Master Tracker'!K23="","",'Master Tracker'!K23)</f>
        <v>Not Started</v>
      </c>
      <c r="L23" s="4" t="str">
        <f>IF('Master Tracker'!L23="","",'Master Tracker'!L23)</f>
        <v/>
      </c>
      <c r="M23" s="18" t="str">
        <f>IF('Master Tracker'!M23="","",'Master Tracker'!M23)</f>
        <v/>
      </c>
      <c r="N23" s="4" t="str">
        <f>IF('Master Tracker'!N23="","",'Master Tracker'!N23)</f>
        <v/>
      </c>
    </row>
  </sheetData>
  <mergeCells count="2">
    <mergeCell ref="A2:N3"/>
    <mergeCell ref="A1:N1"/>
  </mergeCells>
  <conditionalFormatting sqref="H6:H23">
    <cfRule type="expression" dxfId="58" priority="5">
      <formula>$H6="Critical"</formula>
    </cfRule>
    <cfRule type="expression" dxfId="57" priority="6">
      <formula>$H6="High"</formula>
    </cfRule>
    <cfRule type="expression" dxfId="56" priority="7">
      <formula>$H6="Low"</formula>
    </cfRule>
  </conditionalFormatting>
  <conditionalFormatting sqref="K6:K23">
    <cfRule type="expression" dxfId="55" priority="1">
      <formula>$K6="Done"</formula>
    </cfRule>
    <cfRule type="expression" dxfId="54" priority="2">
      <formula>$K6="In Progress"</formula>
    </cfRule>
    <cfRule type="expression" dxfId="53" priority="3">
      <formula>$K6="Blocked"</formula>
    </cfRule>
    <cfRule type="expression" dxfId="52" priority="4">
      <formula>$K6="Not Started"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"/>
  <sheetViews>
    <sheetView topLeftCell="A10" workbookViewId="0">
      <selection activeCell="E19" sqref="E19"/>
    </sheetView>
  </sheetViews>
  <sheetFormatPr defaultRowHeight="14.5" x14ac:dyDescent="0.35"/>
  <cols>
    <col min="1" max="1" width="12.81640625" bestFit="1" customWidth="1"/>
    <col min="2" max="2" width="11.453125" bestFit="1" customWidth="1"/>
    <col min="3" max="3" width="11.81640625" bestFit="1" customWidth="1"/>
    <col min="4" max="4" width="15.90625" bestFit="1" customWidth="1"/>
    <col min="5" max="5" width="50" bestFit="1" customWidth="1"/>
    <col min="6" max="6" width="71.36328125" bestFit="1" customWidth="1"/>
    <col min="7" max="7" width="22.36328125" bestFit="1" customWidth="1"/>
    <col min="8" max="8" width="11.54296875" bestFit="1" customWidth="1"/>
    <col min="9" max="9" width="23.81640625" bestFit="1" customWidth="1"/>
    <col min="10" max="10" width="15.7265625" bestFit="1" customWidth="1"/>
    <col min="11" max="11" width="10.6328125" bestFit="1" customWidth="1"/>
    <col min="12" max="12" width="11" bestFit="1" customWidth="1"/>
    <col min="13" max="13" width="15.1796875" bestFit="1" customWidth="1"/>
    <col min="14" max="14" width="10.26953125" bestFit="1" customWidth="1"/>
  </cols>
  <sheetData>
    <row r="1" spans="1:14" ht="16" customHeight="1" x14ac:dyDescent="0.35">
      <c r="A1" s="27" t="s">
        <v>439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65" customHeight="1" x14ac:dyDescent="0.35">
      <c r="A2" s="26" t="s">
        <v>440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ht="17.399999999999999" customHeight="1" x14ac:dyDescent="0.35">
      <c r="A5" s="3" t="s">
        <v>45</v>
      </c>
      <c r="B5" s="3" t="s">
        <v>46</v>
      </c>
      <c r="C5" s="3" t="s">
        <v>32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ht="22.65" customHeight="1" x14ac:dyDescent="0.45">
      <c r="A6" s="13" t="str">
        <f>IF('Master Tracker'!A24="","",'Master Tracker'!A24)</f>
        <v>☐</v>
      </c>
      <c r="B6" s="14" t="str">
        <f>IF('Master Tracker'!B24="","",'Master Tracker'!B24)</f>
        <v>T-019</v>
      </c>
      <c r="C6" s="4" t="str">
        <f>IF('Master Tracker'!C24="","",'Master Tracker'!C24)</f>
        <v>HR</v>
      </c>
      <c r="D6" s="4" t="str">
        <f>IF('Master Tracker'!D24="","",'Master Tracker'!D24)</f>
        <v>Onboarding</v>
      </c>
      <c r="E6" s="15" t="str">
        <f>IF('Master Tracker'!E24="","",'Master Tracker'!E24)</f>
        <v>Define rider onboarding workflow</v>
      </c>
      <c r="F6" s="15" t="str">
        <f>IF('Master Tracker'!F24="","",'Master Tracker'!F24)</f>
        <v>Steps from application to activation including document approval</v>
      </c>
      <c r="G6" s="15" t="str">
        <f>IF('Master Tracker'!G24="","",'Master Tracker'!G24)</f>
        <v>All</v>
      </c>
      <c r="H6" s="4" t="str">
        <f>IF('Master Tracker'!H24="","",'Master Tracker'!H24)</f>
        <v>Critical</v>
      </c>
      <c r="I6" s="15" t="str">
        <f>IF('Master Tracker'!I24="","",'Master Tracker'!I24)</f>
        <v>Phase 1 - Foundation</v>
      </c>
      <c r="J6" s="4" t="str">
        <f>IF('Master Tracker'!J24="","",'Master Tracker'!J24)</f>
        <v/>
      </c>
      <c r="K6" s="4" t="str">
        <f>IF('Master Tracker'!K24="","",'Master Tracker'!K24)</f>
        <v>Not Started</v>
      </c>
      <c r="L6" s="4" t="str">
        <f>IF('Master Tracker'!L24="","",'Master Tracker'!L24)</f>
        <v/>
      </c>
      <c r="M6" s="18" t="str">
        <f>IF('Master Tracker'!M24="","",'Master Tracker'!M24)</f>
        <v/>
      </c>
      <c r="N6" s="4" t="str">
        <f>IF('Master Tracker'!N24="","",'Master Tracker'!N24)</f>
        <v/>
      </c>
    </row>
    <row r="7" spans="1:14" ht="22.65" customHeight="1" x14ac:dyDescent="0.45">
      <c r="A7" s="13" t="str">
        <f>IF('Master Tracker'!A25="","",'Master Tracker'!A25)</f>
        <v>☐</v>
      </c>
      <c r="B7" s="14" t="str">
        <f>IF('Master Tracker'!B25="","",'Master Tracker'!B25)</f>
        <v>T-020</v>
      </c>
      <c r="C7" s="4" t="str">
        <f>IF('Master Tracker'!C25="","",'Master Tracker'!C25)</f>
        <v>HR</v>
      </c>
      <c r="D7" s="4" t="str">
        <f>IF('Master Tracker'!D25="","",'Master Tracker'!D25)</f>
        <v>Onboarding</v>
      </c>
      <c r="E7" s="15" t="str">
        <f>IF('Master Tracker'!E25="","",'Master Tracker'!E25)</f>
        <v>Create rider category rules based on transport model</v>
      </c>
      <c r="F7" s="15" t="str">
        <f>IF('Master Tracker'!F25="","",'Master Tracker'!F25)</f>
        <v>Different handling for company-bike riders vs rider-owned riders</v>
      </c>
      <c r="G7" s="15" t="str">
        <f>IF('Master Tracker'!G25="","",'Master Tracker'!G25)</f>
        <v>All (varies by source type)</v>
      </c>
      <c r="H7" s="4" t="str">
        <f>IF('Master Tracker'!H25="","",'Master Tracker'!H25)</f>
        <v>Critical</v>
      </c>
      <c r="I7" s="15" t="str">
        <f>IF('Master Tracker'!I25="","",'Master Tracker'!I25)</f>
        <v>Phase 1 - Foundation</v>
      </c>
      <c r="J7" s="4" t="str">
        <f>IF('Master Tracker'!J25="","",'Master Tracker'!J25)</f>
        <v/>
      </c>
      <c r="K7" s="4" t="str">
        <f>IF('Master Tracker'!K25="","",'Master Tracker'!K25)</f>
        <v>Not Started</v>
      </c>
      <c r="L7" s="4" t="str">
        <f>IF('Master Tracker'!L25="","",'Master Tracker'!L25)</f>
        <v/>
      </c>
      <c r="M7" s="18" t="str">
        <f>IF('Master Tracker'!M25="","",'Master Tracker'!M25)</f>
        <v/>
      </c>
      <c r="N7" s="4" t="str">
        <f>IF('Master Tracker'!N25="","",'Master Tracker'!N25)</f>
        <v/>
      </c>
    </row>
    <row r="8" spans="1:14" ht="22.65" customHeight="1" x14ac:dyDescent="0.45">
      <c r="A8" s="13" t="str">
        <f>IF('Master Tracker'!A26="","",'Master Tracker'!A26)</f>
        <v>☐</v>
      </c>
      <c r="B8" s="14" t="str">
        <f>IF('Master Tracker'!B26="","",'Master Tracker'!B26)</f>
        <v>T-021</v>
      </c>
      <c r="C8" s="4" t="str">
        <f>IF('Master Tracker'!C26="","",'Master Tracker'!C26)</f>
        <v>HR</v>
      </c>
      <c r="D8" s="4" t="str">
        <f>IF('Master Tracker'!D26="","",'Master Tracker'!D26)</f>
        <v>Onboarding</v>
      </c>
      <c r="E8" s="15" t="str">
        <f>IF('Master Tracker'!E26="","",'Master Tracker'!E26)</f>
        <v>Build document collection checklist</v>
      </c>
      <c r="F8" s="15" t="str">
        <f>IF('Master Tracker'!F26="","",'Master Tracker'!F26)</f>
        <v>CPR/ID, visa, license, contract, bank, emergency contact</v>
      </c>
      <c r="G8" s="15" t="str">
        <f>IF('Master Tracker'!G26="","",'Master Tracker'!G26)</f>
        <v>All</v>
      </c>
      <c r="H8" s="4" t="str">
        <f>IF('Master Tracker'!H26="","",'Master Tracker'!H26)</f>
        <v>High</v>
      </c>
      <c r="I8" s="15" t="str">
        <f>IF('Master Tracker'!I26="","",'Master Tracker'!I26)</f>
        <v>Phase 1 - Foundation</v>
      </c>
      <c r="J8" s="4" t="str">
        <f>IF('Master Tracker'!J26="","",'Master Tracker'!J26)</f>
        <v/>
      </c>
      <c r="K8" s="4" t="str">
        <f>IF('Master Tracker'!K26="","",'Master Tracker'!K26)</f>
        <v>Not Started</v>
      </c>
      <c r="L8" s="4" t="str">
        <f>IF('Master Tracker'!L26="","",'Master Tracker'!L26)</f>
        <v/>
      </c>
      <c r="M8" s="18" t="str">
        <f>IF('Master Tracker'!M26="","",'Master Tracker'!M26)</f>
        <v/>
      </c>
      <c r="N8" s="4" t="str">
        <f>IF('Master Tracker'!N26="","",'Master Tracker'!N26)</f>
        <v/>
      </c>
    </row>
    <row r="9" spans="1:14" ht="22.65" customHeight="1" x14ac:dyDescent="0.45">
      <c r="A9" s="13" t="str">
        <f>IF('Master Tracker'!A27="","",'Master Tracker'!A27)</f>
        <v>☐</v>
      </c>
      <c r="B9" s="14" t="str">
        <f>IF('Master Tracker'!B27="","",'Master Tracker'!B27)</f>
        <v>T-022</v>
      </c>
      <c r="C9" s="4" t="str">
        <f>IF('Master Tracker'!C27="","",'Master Tracker'!C27)</f>
        <v>HR</v>
      </c>
      <c r="D9" s="4" t="str">
        <f>IF('Master Tracker'!D27="","",'Master Tracker'!D27)</f>
        <v>Contracts</v>
      </c>
      <c r="E9" s="15" t="str">
        <f>IF('Master Tracker'!E27="","",'Master Tracker'!E27)</f>
        <v>Prepare employment / service contract templates</v>
      </c>
      <c r="F9" s="15" t="str">
        <f>IF('Master Tracker'!F27="","",'Master Tracker'!F27)</f>
        <v>Separate clauses for company vehicle, rented vehicle and rider-owned vehicle cases</v>
      </c>
      <c r="G9" s="15" t="str">
        <f>IF('Master Tracker'!G27="","",'Master Tracker'!G27)</f>
        <v>All (varies by source type)</v>
      </c>
      <c r="H9" s="4" t="str">
        <f>IF('Master Tracker'!H27="","",'Master Tracker'!H27)</f>
        <v>High</v>
      </c>
      <c r="I9" s="15" t="str">
        <f>IF('Master Tracker'!I27="","",'Master Tracker'!I27)</f>
        <v>Phase 1 - Foundation</v>
      </c>
      <c r="J9" s="4" t="str">
        <f>IF('Master Tracker'!J27="","",'Master Tracker'!J27)</f>
        <v/>
      </c>
      <c r="K9" s="4" t="str">
        <f>IF('Master Tracker'!K27="","",'Master Tracker'!K27)</f>
        <v>Not Started</v>
      </c>
      <c r="L9" s="4" t="str">
        <f>IF('Master Tracker'!L27="","",'Master Tracker'!L27)</f>
        <v/>
      </c>
      <c r="M9" s="18" t="str">
        <f>IF('Master Tracker'!M27="","",'Master Tracker'!M27)</f>
        <v/>
      </c>
      <c r="N9" s="4" t="str">
        <f>IF('Master Tracker'!N27="","",'Master Tracker'!N27)</f>
        <v/>
      </c>
    </row>
    <row r="10" spans="1:14" ht="22.65" customHeight="1" x14ac:dyDescent="0.45">
      <c r="A10" s="13" t="str">
        <f>IF('Master Tracker'!A28="","",'Master Tracker'!A28)</f>
        <v>☐</v>
      </c>
      <c r="B10" s="14" t="str">
        <f>IF('Master Tracker'!B28="","",'Master Tracker'!B28)</f>
        <v>T-023</v>
      </c>
      <c r="C10" s="4" t="str">
        <f>IF('Master Tracker'!C28="","",'Master Tracker'!C28)</f>
        <v>HR</v>
      </c>
      <c r="D10" s="4" t="str">
        <f>IF('Master Tracker'!D28="","",'Master Tracker'!D28)</f>
        <v>Contracts</v>
      </c>
      <c r="E10" s="15" t="str">
        <f>IF('Master Tracker'!E28="","",'Master Tracker'!E28)</f>
        <v>Capture deposit / deduction agreements where applicable</v>
      </c>
      <c r="F10" s="15" t="str">
        <f>IF('Master Tracker'!F28="","",'Master Tracker'!F28)</f>
        <v>Vehicle damage, uniform, equipment or advance recovery logic</v>
      </c>
      <c r="G10" s="15" t="str">
        <f>IF('Master Tracker'!G28="","",'Master Tracker'!G28)</f>
        <v>Owned + Rented</v>
      </c>
      <c r="H10" s="4" t="str">
        <f>IF('Master Tracker'!H28="","",'Master Tracker'!H28)</f>
        <v>High</v>
      </c>
      <c r="I10" s="15" t="str">
        <f>IF('Master Tracker'!I28="","",'Master Tracker'!I28)</f>
        <v>Phase 2 - Core Operations</v>
      </c>
      <c r="J10" s="4" t="str">
        <f>IF('Master Tracker'!J28="","",'Master Tracker'!J28)</f>
        <v/>
      </c>
      <c r="K10" s="4" t="str">
        <f>IF('Master Tracker'!K28="","",'Master Tracker'!K28)</f>
        <v>Not Started</v>
      </c>
      <c r="L10" s="4" t="str">
        <f>IF('Master Tracker'!L28="","",'Master Tracker'!L28)</f>
        <v/>
      </c>
      <c r="M10" s="18" t="str">
        <f>IF('Master Tracker'!M28="","",'Master Tracker'!M28)</f>
        <v/>
      </c>
      <c r="N10" s="4" t="str">
        <f>IF('Master Tracker'!N28="","",'Master Tracker'!N28)</f>
        <v/>
      </c>
    </row>
    <row r="11" spans="1:14" ht="22.65" customHeight="1" x14ac:dyDescent="0.45">
      <c r="A11" s="13" t="str">
        <f>IF('Master Tracker'!A29="","",'Master Tracker'!A29)</f>
        <v>☐</v>
      </c>
      <c r="B11" s="14" t="str">
        <f>IF('Master Tracker'!B29="","",'Master Tracker'!B29)</f>
        <v>T-024</v>
      </c>
      <c r="C11" s="4" t="str">
        <f>IF('Master Tracker'!C29="","",'Master Tracker'!C29)</f>
        <v>HR</v>
      </c>
      <c r="D11" s="4" t="str">
        <f>IF('Master Tracker'!D29="","",'Master Tracker'!D29)</f>
        <v>Compliance</v>
      </c>
      <c r="E11" s="15" t="str">
        <f>IF('Master Tracker'!E29="","",'Master Tracker'!E29)</f>
        <v>Track visa and license expiry alerts</v>
      </c>
      <c r="F11" s="15" t="str">
        <f>IF('Master Tracker'!F29="","",'Master Tracker'!F29)</f>
        <v>Prevent activation of riders with invalid legal documents</v>
      </c>
      <c r="G11" s="15" t="str">
        <f>IF('Master Tracker'!G29="","",'Master Tracker'!G29)</f>
        <v>All</v>
      </c>
      <c r="H11" s="4" t="str">
        <f>IF('Master Tracker'!H29="","",'Master Tracker'!H29)</f>
        <v>Critical</v>
      </c>
      <c r="I11" s="15" t="str">
        <f>IF('Master Tracker'!I29="","",'Master Tracker'!I29)</f>
        <v>Phase 1 - Foundation</v>
      </c>
      <c r="J11" s="4" t="str">
        <f>IF('Master Tracker'!J29="","",'Master Tracker'!J29)</f>
        <v/>
      </c>
      <c r="K11" s="4" t="str">
        <f>IF('Master Tracker'!K29="","",'Master Tracker'!K29)</f>
        <v>Not Started</v>
      </c>
      <c r="L11" s="4" t="str">
        <f>IF('Master Tracker'!L29="","",'Master Tracker'!L29)</f>
        <v/>
      </c>
      <c r="M11" s="18" t="str">
        <f>IF('Master Tracker'!M29="","",'Master Tracker'!M29)</f>
        <v/>
      </c>
      <c r="N11" s="4" t="str">
        <f>IF('Master Tracker'!N29="","",'Master Tracker'!N29)</f>
        <v/>
      </c>
    </row>
    <row r="12" spans="1:14" ht="22.65" customHeight="1" x14ac:dyDescent="0.45">
      <c r="A12" s="13" t="str">
        <f>IF('Master Tracker'!A30="","",'Master Tracker'!A30)</f>
        <v>☐</v>
      </c>
      <c r="B12" s="14" t="str">
        <f>IF('Master Tracker'!B30="","",'Master Tracker'!B30)</f>
        <v>T-025</v>
      </c>
      <c r="C12" s="4" t="str">
        <f>IF('Master Tracker'!C30="","",'Master Tracker'!C30)</f>
        <v>HR</v>
      </c>
      <c r="D12" s="4" t="str">
        <f>IF('Master Tracker'!D30="","",'Master Tracker'!D30)</f>
        <v>Payroll Inputs</v>
      </c>
      <c r="E12" s="15" t="str">
        <f>IF('Master Tracker'!E30="","",'Master Tracker'!E30)</f>
        <v>Define pay components and earning rules</v>
      </c>
      <c r="F12" s="15" t="str">
        <f>IF('Master Tracker'!F30="","",'Master Tracker'!F30)</f>
        <v>Fixed salary, per-order, extra km, allowance, deductions and incentives</v>
      </c>
      <c r="G12" s="15" t="str">
        <f>IF('Master Tracker'!G30="","",'Master Tracker'!G30)</f>
        <v>All (varies by source type)</v>
      </c>
      <c r="H12" s="4" t="str">
        <f>IF('Master Tracker'!H30="","",'Master Tracker'!H30)</f>
        <v>Critical</v>
      </c>
      <c r="I12" s="15" t="str">
        <f>IF('Master Tracker'!I30="","",'Master Tracker'!I30)</f>
        <v>Phase 2 - Core Operations</v>
      </c>
      <c r="J12" s="4" t="str">
        <f>IF('Master Tracker'!J30="","",'Master Tracker'!J30)</f>
        <v/>
      </c>
      <c r="K12" s="4" t="str">
        <f>IF('Master Tracker'!K30="","",'Master Tracker'!K30)</f>
        <v>Not Started</v>
      </c>
      <c r="L12" s="4" t="str">
        <f>IF('Master Tracker'!L30="","",'Master Tracker'!L30)</f>
        <v/>
      </c>
      <c r="M12" s="18" t="str">
        <f>IF('Master Tracker'!M30="","",'Master Tracker'!M30)</f>
        <v/>
      </c>
      <c r="N12" s="4" t="str">
        <f>IF('Master Tracker'!N30="","",'Master Tracker'!N30)</f>
        <v/>
      </c>
    </row>
    <row r="13" spans="1:14" ht="22.65" customHeight="1" x14ac:dyDescent="0.45">
      <c r="A13" s="13" t="str">
        <f>IF('Master Tracker'!A31="","",'Master Tracker'!A31)</f>
        <v>☐</v>
      </c>
      <c r="B13" s="14" t="str">
        <f>IF('Master Tracker'!B31="","",'Master Tracker'!B31)</f>
        <v>T-026</v>
      </c>
      <c r="C13" s="4" t="str">
        <f>IF('Master Tracker'!C31="","",'Master Tracker'!C31)</f>
        <v>HR</v>
      </c>
      <c r="D13" s="4" t="str">
        <f>IF('Master Tracker'!D31="","",'Master Tracker'!D31)</f>
        <v>Payroll Inputs</v>
      </c>
      <c r="E13" s="15" t="str">
        <f>IF('Master Tracker'!E31="","",'Master Tracker'!E31)</f>
        <v>Define own-bike allowance policy</v>
      </c>
      <c r="F13" s="15" t="str">
        <f>IF('Master Tracker'!F31="","",'Master Tracker'!F31)</f>
        <v>When and how rider-owned vehicle riders receive transport allowance</v>
      </c>
      <c r="G13" s="15" t="str">
        <f>IF('Master Tracker'!G31="","",'Master Tracker'!G31)</f>
        <v>Rider-Owned Only</v>
      </c>
      <c r="H13" s="4" t="str">
        <f>IF('Master Tracker'!H31="","",'Master Tracker'!H31)</f>
        <v>High</v>
      </c>
      <c r="I13" s="15" t="str">
        <f>IF('Master Tracker'!I31="","",'Master Tracker'!I31)</f>
        <v>Phase 3 - Finance &amp; Control</v>
      </c>
      <c r="J13" s="4" t="str">
        <f>IF('Master Tracker'!J31="","",'Master Tracker'!J31)</f>
        <v/>
      </c>
      <c r="K13" s="4" t="str">
        <f>IF('Master Tracker'!K31="","",'Master Tracker'!K31)</f>
        <v>Not Started</v>
      </c>
      <c r="L13" s="4" t="str">
        <f>IF('Master Tracker'!L31="","",'Master Tracker'!L31)</f>
        <v/>
      </c>
      <c r="M13" s="18" t="str">
        <f>IF('Master Tracker'!M31="","",'Master Tracker'!M31)</f>
        <v/>
      </c>
      <c r="N13" s="4" t="str">
        <f>IF('Master Tracker'!N31="","",'Master Tracker'!N31)</f>
        <v/>
      </c>
    </row>
    <row r="14" spans="1:14" ht="22.65" customHeight="1" x14ac:dyDescent="0.45">
      <c r="A14" s="13" t="str">
        <f>IF('Master Tracker'!A32="","",'Master Tracker'!A32)</f>
        <v>☐</v>
      </c>
      <c r="B14" s="14" t="str">
        <f>IF('Master Tracker'!B32="","",'Master Tracker'!B32)</f>
        <v>T-027</v>
      </c>
      <c r="C14" s="4" t="str">
        <f>IF('Master Tracker'!C32="","",'Master Tracker'!C32)</f>
        <v>HR</v>
      </c>
      <c r="D14" s="4" t="str">
        <f>IF('Master Tracker'!D32="","",'Master Tracker'!D32)</f>
        <v>Payroll Inputs</v>
      </c>
      <c r="E14" s="15" t="str">
        <f>IF('Master Tracker'!E32="","",'Master Tracker'!E32)</f>
        <v>Define company-bike deduction policy</v>
      </c>
      <c r="F14" s="15" t="str">
        <f>IF('Master Tracker'!F32="","",'Master Tracker'!F32)</f>
        <v>Monthly/daily deduction or damage recovery for company vehicles</v>
      </c>
      <c r="G14" s="15" t="str">
        <f>IF('Master Tracker'!G32="","",'Master Tracker'!G32)</f>
        <v>Owned + Rented</v>
      </c>
      <c r="H14" s="4" t="str">
        <f>IF('Master Tracker'!H32="","",'Master Tracker'!H32)</f>
        <v>High</v>
      </c>
      <c r="I14" s="15" t="str">
        <f>IF('Master Tracker'!I32="","",'Master Tracker'!I32)</f>
        <v>Phase 3 - Finance &amp; Control</v>
      </c>
      <c r="J14" s="4" t="str">
        <f>IF('Master Tracker'!J32="","",'Master Tracker'!J32)</f>
        <v/>
      </c>
      <c r="K14" s="4" t="str">
        <f>IF('Master Tracker'!K32="","",'Master Tracker'!K32)</f>
        <v>Not Started</v>
      </c>
      <c r="L14" s="4" t="str">
        <f>IF('Master Tracker'!L32="","",'Master Tracker'!L32)</f>
        <v/>
      </c>
      <c r="M14" s="18" t="str">
        <f>IF('Master Tracker'!M32="","",'Master Tracker'!M32)</f>
        <v/>
      </c>
      <c r="N14" s="4" t="str">
        <f>IF('Master Tracker'!N32="","",'Master Tracker'!N32)</f>
        <v/>
      </c>
    </row>
    <row r="15" spans="1:14" ht="22.65" customHeight="1" x14ac:dyDescent="0.45">
      <c r="A15" s="13" t="str">
        <f>IF('Master Tracker'!A33="","",'Master Tracker'!A33)</f>
        <v>☐</v>
      </c>
      <c r="B15" s="14" t="str">
        <f>IF('Master Tracker'!B33="","",'Master Tracker'!B33)</f>
        <v>T-028</v>
      </c>
      <c r="C15" s="4" t="str">
        <f>IF('Master Tracker'!C33="","",'Master Tracker'!C33)</f>
        <v>HR</v>
      </c>
      <c r="D15" s="4" t="str">
        <f>IF('Master Tracker'!D33="","",'Master Tracker'!D33)</f>
        <v>Attendance</v>
      </c>
      <c r="E15" s="15" t="str">
        <f>IF('Master Tracker'!E33="","",'Master Tracker'!E33)</f>
        <v>Design attendance approval flow</v>
      </c>
      <c r="F15" s="15" t="str">
        <f>IF('Master Tracker'!F33="","",'Master Tracker'!F33)</f>
        <v>Missed check-in, manual override, lateness and supervisor approval</v>
      </c>
      <c r="G15" s="15" t="str">
        <f>IF('Master Tracker'!G33="","",'Master Tracker'!G33)</f>
        <v>All</v>
      </c>
      <c r="H15" s="4" t="str">
        <f>IF('Master Tracker'!H33="","",'Master Tracker'!H33)</f>
        <v>High</v>
      </c>
      <c r="I15" s="15" t="str">
        <f>IF('Master Tracker'!I33="","",'Master Tracker'!I33)</f>
        <v>Phase 2 - Core Operations</v>
      </c>
      <c r="J15" s="4" t="str">
        <f>IF('Master Tracker'!J33="","",'Master Tracker'!J33)</f>
        <v/>
      </c>
      <c r="K15" s="4" t="str">
        <f>IF('Master Tracker'!K33="","",'Master Tracker'!K33)</f>
        <v>Not Started</v>
      </c>
      <c r="L15" s="4" t="str">
        <f>IF('Master Tracker'!L33="","",'Master Tracker'!L33)</f>
        <v/>
      </c>
      <c r="M15" s="18" t="str">
        <f>IF('Master Tracker'!M33="","",'Master Tracker'!M33)</f>
        <v/>
      </c>
      <c r="N15" s="4" t="str">
        <f>IF('Master Tracker'!N33="","",'Master Tracker'!N33)</f>
        <v/>
      </c>
    </row>
    <row r="16" spans="1:14" ht="22.65" customHeight="1" x14ac:dyDescent="0.45">
      <c r="A16" s="13" t="str">
        <f>IF('Master Tracker'!A34="","",'Master Tracker'!A34)</f>
        <v>☐</v>
      </c>
      <c r="B16" s="14" t="str">
        <f>IF('Master Tracker'!B34="","",'Master Tracker'!B34)</f>
        <v>T-029</v>
      </c>
      <c r="C16" s="4" t="str">
        <f>IF('Master Tracker'!C34="","",'Master Tracker'!C34)</f>
        <v>HR</v>
      </c>
      <c r="D16" s="4" t="str">
        <f>IF('Master Tracker'!D34="","",'Master Tracker'!D34)</f>
        <v>People Ops</v>
      </c>
      <c r="E16" s="15" t="str">
        <f>IF('Master Tracker'!E34="","",'Master Tracker'!E34)</f>
        <v>Create disciplinary process linked to vehicle misuse</v>
      </c>
      <c r="F16" s="15" t="str">
        <f>IF('Master Tracker'!F34="","",'Master Tracker'!F34)</f>
        <v>Late return, reckless use, damage and repeated non-compliance</v>
      </c>
      <c r="G16" s="15" t="str">
        <f>IF('Master Tracker'!G34="","",'Master Tracker'!G34)</f>
        <v>Owned + Rented</v>
      </c>
      <c r="H16" s="4" t="str">
        <f>IF('Master Tracker'!H34="","",'Master Tracker'!H34)</f>
        <v>Medium</v>
      </c>
      <c r="I16" s="15" t="str">
        <f>IF('Master Tracker'!I34="","",'Master Tracker'!I34)</f>
        <v>Phase 3 - Finance &amp; Control</v>
      </c>
      <c r="J16" s="4" t="str">
        <f>IF('Master Tracker'!J34="","",'Master Tracker'!J34)</f>
        <v/>
      </c>
      <c r="K16" s="4" t="str">
        <f>IF('Master Tracker'!K34="","",'Master Tracker'!K34)</f>
        <v>Not Started</v>
      </c>
      <c r="L16" s="4" t="str">
        <f>IF('Master Tracker'!L34="","",'Master Tracker'!L34)</f>
        <v/>
      </c>
      <c r="M16" s="18" t="str">
        <f>IF('Master Tracker'!M34="","",'Master Tracker'!M34)</f>
        <v/>
      </c>
      <c r="N16" s="4" t="str">
        <f>IF('Master Tracker'!N34="","",'Master Tracker'!N34)</f>
        <v/>
      </c>
    </row>
    <row r="17" spans="1:14" ht="22.65" customHeight="1" x14ac:dyDescent="0.45">
      <c r="A17" s="13" t="str">
        <f>IF('Master Tracker'!A35="","",'Master Tracker'!A35)</f>
        <v>☐</v>
      </c>
      <c r="B17" s="14" t="str">
        <f>IF('Master Tracker'!B35="","",'Master Tracker'!B35)</f>
        <v>T-030</v>
      </c>
      <c r="C17" s="4" t="str">
        <f>IF('Master Tracker'!C35="","",'Master Tracker'!C35)</f>
        <v>HR</v>
      </c>
      <c r="D17" s="4" t="str">
        <f>IF('Master Tracker'!D35="","",'Master Tracker'!D35)</f>
        <v>People Ops</v>
      </c>
      <c r="E17" s="15" t="str">
        <f>IF('Master Tracker'!E35="","",'Master Tracker'!E35)</f>
        <v>Create offboarding checklist</v>
      </c>
      <c r="F17" s="15" t="str">
        <f>IF('Master Tracker'!F35="","",'Master Tracker'!F35)</f>
        <v>Final payroll, asset return, account disablement and document archive</v>
      </c>
      <c r="G17" s="15" t="str">
        <f>IF('Master Tracker'!G35="","",'Master Tracker'!G35)</f>
        <v>All</v>
      </c>
      <c r="H17" s="4" t="str">
        <f>IF('Master Tracker'!H35="","",'Master Tracker'!H35)</f>
        <v>High</v>
      </c>
      <c r="I17" s="15" t="str">
        <f>IF('Master Tracker'!I35="","",'Master Tracker'!I35)</f>
        <v>Phase 3 - Finance &amp; Control</v>
      </c>
      <c r="J17" s="4" t="str">
        <f>IF('Master Tracker'!J35="","",'Master Tracker'!J35)</f>
        <v/>
      </c>
      <c r="K17" s="4" t="str">
        <f>IF('Master Tracker'!K35="","",'Master Tracker'!K35)</f>
        <v>Not Started</v>
      </c>
      <c r="L17" s="4" t="str">
        <f>IF('Master Tracker'!L35="","",'Master Tracker'!L35)</f>
        <v/>
      </c>
      <c r="M17" s="18" t="str">
        <f>IF('Master Tracker'!M35="","",'Master Tracker'!M35)</f>
        <v/>
      </c>
      <c r="N17" s="4" t="str">
        <f>IF('Master Tracker'!N35="","",'Master Tracker'!N35)</f>
        <v/>
      </c>
    </row>
    <row r="18" spans="1:14" ht="22.65" customHeight="1" x14ac:dyDescent="0.45">
      <c r="A18" s="13" t="str">
        <f>IF('Master Tracker'!A36="","",'Master Tracker'!A36)</f>
        <v>☐</v>
      </c>
      <c r="B18" s="14" t="str">
        <f>IF('Master Tracker'!B36="","",'Master Tracker'!B36)</f>
        <v>T-031</v>
      </c>
      <c r="C18" s="4" t="str">
        <f>IF('Master Tracker'!C36="","",'Master Tracker'!C36)</f>
        <v>HR</v>
      </c>
      <c r="D18" s="4" t="str">
        <f>IF('Master Tracker'!D36="","",'Master Tracker'!D36)</f>
        <v>People Ops</v>
      </c>
      <c r="E18" s="15" t="str">
        <f>IF('Master Tracker'!E36="","",'Master Tracker'!E36)</f>
        <v>Design leave / absence handling</v>
      </c>
      <c r="F18" s="15" t="str">
        <f>IF('Master Tracker'!F36="","",'Master Tracker'!F36)</f>
        <v>Link leave status to roster and payroll</v>
      </c>
      <c r="G18" s="15" t="str">
        <f>IF('Master Tracker'!G36="","",'Master Tracker'!G36)</f>
        <v>All</v>
      </c>
      <c r="H18" s="4" t="str">
        <f>IF('Master Tracker'!H36="","",'Master Tracker'!H36)</f>
        <v>Medium</v>
      </c>
      <c r="I18" s="15" t="str">
        <f>IF('Master Tracker'!I36="","",'Master Tracker'!I36)</f>
        <v>Phase 2 - Core Operations</v>
      </c>
      <c r="J18" s="4" t="str">
        <f>IF('Master Tracker'!J36="","",'Master Tracker'!J36)</f>
        <v/>
      </c>
      <c r="K18" s="4" t="str">
        <f>IF('Master Tracker'!K36="","",'Master Tracker'!K36)</f>
        <v>Not Started</v>
      </c>
      <c r="L18" s="4" t="str">
        <f>IF('Master Tracker'!L36="","",'Master Tracker'!L36)</f>
        <v/>
      </c>
      <c r="M18" s="18" t="str">
        <f>IF('Master Tracker'!M36="","",'Master Tracker'!M36)</f>
        <v/>
      </c>
      <c r="N18" s="4" t="str">
        <f>IF('Master Tracker'!N36="","",'Master Tracker'!N36)</f>
        <v/>
      </c>
    </row>
    <row r="19" spans="1:14" ht="22.65" customHeight="1" x14ac:dyDescent="0.45">
      <c r="A19" s="13" t="str">
        <f>IF('Master Tracker'!A37="","",'Master Tracker'!A37)</f>
        <v>☐</v>
      </c>
      <c r="B19" s="14" t="str">
        <f>IF('Master Tracker'!B37="","",'Master Tracker'!B37)</f>
        <v>T-032</v>
      </c>
      <c r="C19" s="4" t="str">
        <f>IF('Master Tracker'!C37="","",'Master Tracker'!C37)</f>
        <v>HR</v>
      </c>
      <c r="D19" s="4" t="str">
        <f>IF('Master Tracker'!D37="","",'Master Tracker'!D37)</f>
        <v>Dashboard</v>
      </c>
      <c r="E19" s="15" t="str">
        <f>IF('Master Tracker'!E37="","",'Master Tracker'!E37)</f>
        <v>Define HR dashboard metrics</v>
      </c>
      <c r="F19" s="15" t="str">
        <f>IF('Master Tracker'!F37="","",'Master Tracker'!F37)</f>
        <v>Headcount, active riders, expired docs, churn and payroll exceptions</v>
      </c>
      <c r="G19" s="15" t="str">
        <f>IF('Master Tracker'!G37="","",'Master Tracker'!G37)</f>
        <v>All</v>
      </c>
      <c r="H19" s="4" t="str">
        <f>IF('Master Tracker'!H37="","",'Master Tracker'!H37)</f>
        <v>Medium</v>
      </c>
      <c r="I19" s="15" t="str">
        <f>IF('Master Tracker'!I37="","",'Master Tracker'!I37)</f>
        <v>Phase 4 - Integrations &amp; BI</v>
      </c>
      <c r="J19" s="4" t="str">
        <f>IF('Master Tracker'!J37="","",'Master Tracker'!J37)</f>
        <v/>
      </c>
      <c r="K19" s="4" t="str">
        <f>IF('Master Tracker'!K37="","",'Master Tracker'!K37)</f>
        <v>Not Started</v>
      </c>
      <c r="L19" s="4" t="str">
        <f>IF('Master Tracker'!L37="","",'Master Tracker'!L37)</f>
        <v/>
      </c>
      <c r="M19" s="18" t="str">
        <f>IF('Master Tracker'!M37="","",'Master Tracker'!M37)</f>
        <v/>
      </c>
      <c r="N19" s="4" t="str">
        <f>IF('Master Tracker'!N37="","",'Master Tracker'!N37)</f>
        <v/>
      </c>
    </row>
  </sheetData>
  <mergeCells count="2">
    <mergeCell ref="A2:N3"/>
    <mergeCell ref="A1:N1"/>
  </mergeCells>
  <conditionalFormatting sqref="H6:H19">
    <cfRule type="expression" dxfId="51" priority="5">
      <formula>$H6="Critical"</formula>
    </cfRule>
    <cfRule type="expression" dxfId="50" priority="6">
      <formula>$H6="High"</formula>
    </cfRule>
    <cfRule type="expression" dxfId="49" priority="7">
      <formula>$H6="Low"</formula>
    </cfRule>
  </conditionalFormatting>
  <conditionalFormatting sqref="K6:K19">
    <cfRule type="expression" dxfId="48" priority="1">
      <formula>$K6="Done"</formula>
    </cfRule>
    <cfRule type="expression" dxfId="47" priority="2">
      <formula>$K6="In Progress"</formula>
    </cfRule>
    <cfRule type="expression" dxfId="46" priority="3">
      <formula>$K6="Blocked"</formula>
    </cfRule>
    <cfRule type="expression" dxfId="45" priority="4">
      <formula>$K6="Not Started"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"/>
  <sheetViews>
    <sheetView topLeftCell="A13" workbookViewId="0">
      <selection activeCell="F20" sqref="F20"/>
    </sheetView>
  </sheetViews>
  <sheetFormatPr defaultRowHeight="14.5" x14ac:dyDescent="0.35"/>
  <cols>
    <col min="1" max="1" width="12.81640625" bestFit="1" customWidth="1"/>
    <col min="2" max="2" width="11.453125" bestFit="1" customWidth="1"/>
    <col min="3" max="3" width="11.81640625" bestFit="1" customWidth="1"/>
    <col min="4" max="4" width="15.90625" bestFit="1" customWidth="1"/>
    <col min="5" max="5" width="51.7265625" bestFit="1" customWidth="1"/>
    <col min="6" max="6" width="70.7265625" bestFit="1" customWidth="1"/>
    <col min="7" max="7" width="22.36328125" bestFit="1" customWidth="1"/>
    <col min="8" max="8" width="11.54296875" bestFit="1" customWidth="1"/>
    <col min="9" max="9" width="23.81640625" bestFit="1" customWidth="1"/>
    <col min="10" max="10" width="15.7265625" bestFit="1" customWidth="1"/>
    <col min="11" max="11" width="10.6328125" bestFit="1" customWidth="1"/>
    <col min="12" max="12" width="11" bestFit="1" customWidth="1"/>
    <col min="13" max="13" width="15.1796875" bestFit="1" customWidth="1"/>
    <col min="14" max="14" width="10.26953125" bestFit="1" customWidth="1"/>
  </cols>
  <sheetData>
    <row r="1" spans="1:14" ht="16" customHeight="1" x14ac:dyDescent="0.35">
      <c r="A1" s="27" t="s">
        <v>441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65" customHeight="1" x14ac:dyDescent="0.35">
      <c r="A2" s="26" t="s">
        <v>442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ht="17.399999999999999" customHeight="1" x14ac:dyDescent="0.35">
      <c r="A5" s="3" t="s">
        <v>45</v>
      </c>
      <c r="B5" s="3" t="s">
        <v>46</v>
      </c>
      <c r="C5" s="3" t="s">
        <v>32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ht="22.65" customHeight="1" x14ac:dyDescent="0.45">
      <c r="A6" s="13" t="str">
        <f>IF('Master Tracker'!A38="","",'Master Tracker'!A38)</f>
        <v>☐</v>
      </c>
      <c r="B6" s="14" t="str">
        <f>IF('Master Tracker'!B38="","",'Master Tracker'!B38)</f>
        <v>T-033</v>
      </c>
      <c r="C6" s="4" t="str">
        <f>IF('Master Tracker'!C38="","",'Master Tracker'!C38)</f>
        <v>Operations</v>
      </c>
      <c r="D6" s="4" t="str">
        <f>IF('Master Tracker'!D38="","",'Master Tracker'!D38)</f>
        <v>Shift Planning</v>
      </c>
      <c r="E6" s="15" t="str">
        <f>IF('Master Tracker'!E38="","",'Master Tracker'!E38)</f>
        <v>Build shift planning and roster structure</v>
      </c>
      <c r="F6" s="15" t="str">
        <f>IF('Master Tracker'!F38="","",'Master Tracker'!F38)</f>
        <v>Daily/weekly rider scheduling by client and aggregator</v>
      </c>
      <c r="G6" s="15" t="str">
        <f>IF('Master Tracker'!G38="","",'Master Tracker'!G38)</f>
        <v>All</v>
      </c>
      <c r="H6" s="4" t="str">
        <f>IF('Master Tracker'!H38="","",'Master Tracker'!H38)</f>
        <v>Critical</v>
      </c>
      <c r="I6" s="15" t="str">
        <f>IF('Master Tracker'!I38="","",'Master Tracker'!I38)</f>
        <v>Phase 2 - Core Operations</v>
      </c>
      <c r="J6" s="4" t="str">
        <f>IF('Master Tracker'!J38="","",'Master Tracker'!J38)</f>
        <v/>
      </c>
      <c r="K6" s="4" t="str">
        <f>IF('Master Tracker'!K38="","",'Master Tracker'!K38)</f>
        <v>Not Started</v>
      </c>
      <c r="L6" s="4" t="str">
        <f>IF('Master Tracker'!L38="","",'Master Tracker'!L38)</f>
        <v/>
      </c>
      <c r="M6" s="18" t="str">
        <f>IF('Master Tracker'!M38="","",'Master Tracker'!M38)</f>
        <v/>
      </c>
      <c r="N6" s="4" t="str">
        <f>IF('Master Tracker'!N38="","",'Master Tracker'!N38)</f>
        <v/>
      </c>
    </row>
    <row r="7" spans="1:14" ht="22.65" customHeight="1" x14ac:dyDescent="0.45">
      <c r="A7" s="13" t="str">
        <f>IF('Master Tracker'!A39="","",'Master Tracker'!A39)</f>
        <v>☐</v>
      </c>
      <c r="B7" s="14" t="str">
        <f>IF('Master Tracker'!B39="","",'Master Tracker'!B39)</f>
        <v>T-034</v>
      </c>
      <c r="C7" s="4" t="str">
        <f>IF('Master Tracker'!C39="","",'Master Tracker'!C39)</f>
        <v>Operations</v>
      </c>
      <c r="D7" s="4" t="str">
        <f>IF('Master Tracker'!D39="","",'Master Tracker'!D39)</f>
        <v>Shift Planning</v>
      </c>
      <c r="E7" s="15" t="str">
        <f>IF('Master Tracker'!E39="","",'Master Tracker'!E39)</f>
        <v>Create rider eligibility check before shift activation</v>
      </c>
      <c r="F7" s="15" t="str">
        <f>IF('Master Tracker'!F39="","",'Master Tracker'!F39)</f>
        <v>Only activate riders with valid docs and approved vehicle</v>
      </c>
      <c r="G7" s="15" t="str">
        <f>IF('Master Tracker'!G39="","",'Master Tracker'!G39)</f>
        <v>All</v>
      </c>
      <c r="H7" s="4" t="str">
        <f>IF('Master Tracker'!H39="","",'Master Tracker'!H39)</f>
        <v>Critical</v>
      </c>
      <c r="I7" s="15" t="str">
        <f>IF('Master Tracker'!I39="","",'Master Tracker'!I39)</f>
        <v>Phase 2 - Core Operations</v>
      </c>
      <c r="J7" s="4" t="str">
        <f>IF('Master Tracker'!J39="","",'Master Tracker'!J39)</f>
        <v/>
      </c>
      <c r="K7" s="4" t="str">
        <f>IF('Master Tracker'!K39="","",'Master Tracker'!K39)</f>
        <v>Not Started</v>
      </c>
      <c r="L7" s="4" t="str">
        <f>IF('Master Tracker'!L39="","",'Master Tracker'!L39)</f>
        <v/>
      </c>
      <c r="M7" s="18" t="str">
        <f>IF('Master Tracker'!M39="","",'Master Tracker'!M39)</f>
        <v/>
      </c>
      <c r="N7" s="4" t="str">
        <f>IF('Master Tracker'!N39="","",'Master Tracker'!N39)</f>
        <v/>
      </c>
    </row>
    <row r="8" spans="1:14" ht="22.65" customHeight="1" x14ac:dyDescent="0.45">
      <c r="A8" s="13" t="str">
        <f>IF('Master Tracker'!A40="","",'Master Tracker'!A40)</f>
        <v>☐</v>
      </c>
      <c r="B8" s="14" t="str">
        <f>IF('Master Tracker'!B40="","",'Master Tracker'!B40)</f>
        <v>T-035</v>
      </c>
      <c r="C8" s="4" t="str">
        <f>IF('Master Tracker'!C40="","",'Master Tracker'!C40)</f>
        <v>Operations</v>
      </c>
      <c r="D8" s="4" t="str">
        <f>IF('Master Tracker'!D40="","",'Master Tracker'!D40)</f>
        <v>Allocation</v>
      </c>
      <c r="E8" s="15" t="str">
        <f>IF('Master Tracker'!E40="","",'Master Tracker'!E40)</f>
        <v>Design rider allocation rules by aggregator</v>
      </c>
      <c r="F8" s="15" t="str">
        <f>IF('Master Tracker'!F40="","",'Master Tracker'!F40)</f>
        <v>Talabat / Jahez / Keeta assignment logic and eligibility mapping</v>
      </c>
      <c r="G8" s="15" t="str">
        <f>IF('Master Tracker'!G40="","",'Master Tracker'!G40)</f>
        <v>All</v>
      </c>
      <c r="H8" s="4" t="str">
        <f>IF('Master Tracker'!H40="","",'Master Tracker'!H40)</f>
        <v>Critical</v>
      </c>
      <c r="I8" s="15" t="str">
        <f>IF('Master Tracker'!I40="","",'Master Tracker'!I40)</f>
        <v>Phase 2 - Core Operations</v>
      </c>
      <c r="J8" s="4" t="str">
        <f>IF('Master Tracker'!J40="","",'Master Tracker'!J40)</f>
        <v/>
      </c>
      <c r="K8" s="4" t="str">
        <f>IF('Master Tracker'!K40="","",'Master Tracker'!K40)</f>
        <v>Not Started</v>
      </c>
      <c r="L8" s="4" t="str">
        <f>IF('Master Tracker'!L40="","",'Master Tracker'!L40)</f>
        <v/>
      </c>
      <c r="M8" s="18" t="str">
        <f>IF('Master Tracker'!M40="","",'Master Tracker'!M40)</f>
        <v/>
      </c>
      <c r="N8" s="4" t="str">
        <f>IF('Master Tracker'!N40="","",'Master Tracker'!N40)</f>
        <v/>
      </c>
    </row>
    <row r="9" spans="1:14" ht="22.65" customHeight="1" x14ac:dyDescent="0.45">
      <c r="A9" s="13" t="str">
        <f>IF('Master Tracker'!A41="","",'Master Tracker'!A41)</f>
        <v>☐</v>
      </c>
      <c r="B9" s="14" t="str">
        <f>IF('Master Tracker'!B41="","",'Master Tracker'!B41)</f>
        <v>T-036</v>
      </c>
      <c r="C9" s="4" t="str">
        <f>IF('Master Tracker'!C41="","",'Master Tracker'!C41)</f>
        <v>Operations</v>
      </c>
      <c r="D9" s="4" t="str">
        <f>IF('Master Tracker'!D41="","",'Master Tracker'!D41)</f>
        <v>Allocation</v>
      </c>
      <c r="E9" s="15" t="str">
        <f>IF('Master Tracker'!E41="","",'Master Tracker'!E41)</f>
        <v>Build rider + vehicle pairing workflow</v>
      </c>
      <c r="F9" s="15" t="str">
        <f>IF('Master Tracker'!F41="","",'Master Tracker'!F41)</f>
        <v>Assign compliant available vehicle to rider for active shift</v>
      </c>
      <c r="G9" s="15" t="str">
        <f>IF('Master Tracker'!G41="","",'Master Tracker'!G41)</f>
        <v>Owned + Rented</v>
      </c>
      <c r="H9" s="4" t="str">
        <f>IF('Master Tracker'!H41="","",'Master Tracker'!H41)</f>
        <v>High</v>
      </c>
      <c r="I9" s="15" t="str">
        <f>IF('Master Tracker'!I41="","",'Master Tracker'!I41)</f>
        <v>Phase 2 - Core Operations</v>
      </c>
      <c r="J9" s="4" t="str">
        <f>IF('Master Tracker'!J41="","",'Master Tracker'!J41)</f>
        <v/>
      </c>
      <c r="K9" s="4" t="str">
        <f>IF('Master Tracker'!K41="","",'Master Tracker'!K41)</f>
        <v>Not Started</v>
      </c>
      <c r="L9" s="4" t="str">
        <f>IF('Master Tracker'!L41="","",'Master Tracker'!L41)</f>
        <v/>
      </c>
      <c r="M9" s="18" t="str">
        <f>IF('Master Tracker'!M41="","",'Master Tracker'!M41)</f>
        <v/>
      </c>
      <c r="N9" s="4" t="str">
        <f>IF('Master Tracker'!N41="","",'Master Tracker'!N41)</f>
        <v/>
      </c>
    </row>
    <row r="10" spans="1:14" ht="22.65" customHeight="1" x14ac:dyDescent="0.45">
      <c r="A10" s="13" t="str">
        <f>IF('Master Tracker'!A42="","",'Master Tracker'!A42)</f>
        <v>☐</v>
      </c>
      <c r="B10" s="29" t="s">
        <v>533</v>
      </c>
      <c r="C10" s="4" t="str">
        <f>IF('Master Tracker'!C42="","",'Master Tracker'!C42)</f>
        <v>Operations</v>
      </c>
      <c r="D10" s="4" t="s">
        <v>178</v>
      </c>
      <c r="E10" s="15" t="s">
        <v>534</v>
      </c>
      <c r="F10" s="15" t="s">
        <v>535</v>
      </c>
      <c r="G10" s="15" t="str">
        <f>IF('Master Tracker'!G41="","",'Master Tracker'!G41)</f>
        <v>Owned + Rented</v>
      </c>
      <c r="H10" s="4" t="str">
        <f>IF('Master Tracker'!H42="","",'Master Tracker'!H42)</f>
        <v>High</v>
      </c>
      <c r="I10" s="15" t="str">
        <f>IF('Master Tracker'!I42="","",'Master Tracker'!I42)</f>
        <v>Phase 4 - Integrations &amp; BI</v>
      </c>
      <c r="J10" s="4" t="str">
        <f>IF('Master Tracker'!J42="","",'Master Tracker'!J42)</f>
        <v/>
      </c>
      <c r="K10" s="4" t="str">
        <f>IF('Master Tracker'!K42="","",'Master Tracker'!K42)</f>
        <v>Not Started</v>
      </c>
      <c r="L10" s="4" t="str">
        <f>IF('Master Tracker'!L42="","",'Master Tracker'!L42)</f>
        <v/>
      </c>
      <c r="M10" s="18" t="str">
        <f>IF('Master Tracker'!M42="","",'Master Tracker'!M42)</f>
        <v/>
      </c>
      <c r="N10" s="4" t="str">
        <f>IF('Master Tracker'!N42="","",'Master Tracker'!N42)</f>
        <v/>
      </c>
    </row>
    <row r="11" spans="1:14" ht="22.65" customHeight="1" x14ac:dyDescent="0.45">
      <c r="A11" s="13" t="str">
        <f>IF('Master Tracker'!A42="","",'Master Tracker'!A42)</f>
        <v>☐</v>
      </c>
      <c r="B11" s="14" t="str">
        <f>IF('Master Tracker'!B42="","",'Master Tracker'!B42)</f>
        <v>T-037</v>
      </c>
      <c r="C11" s="4" t="str">
        <f>IF('Master Tracker'!C42="","",'Master Tracker'!C42)</f>
        <v>Operations</v>
      </c>
      <c r="D11" s="4" t="str">
        <f>IF('Master Tracker'!D42="","",'Master Tracker'!D42)</f>
        <v>Live Control</v>
      </c>
      <c r="E11" s="15" t="str">
        <f>IF('Master Tracker'!E42="","",'Master Tracker'!E42)</f>
        <v>Design live operations control tower view</v>
      </c>
      <c r="F11" s="15" t="str">
        <f>IF('Master Tracker'!F42="","",'Master Tracker'!F42)</f>
        <v>Online riders, active orders, issues, idle riders and replacement needs</v>
      </c>
      <c r="G11" s="15" t="str">
        <f>IF('Master Tracker'!G42="","",'Master Tracker'!G42)</f>
        <v>All</v>
      </c>
      <c r="H11" s="4" t="str">
        <f>IF('Master Tracker'!H42="","",'Master Tracker'!H42)</f>
        <v>High</v>
      </c>
      <c r="I11" s="15" t="str">
        <f>IF('Master Tracker'!I42="","",'Master Tracker'!I42)</f>
        <v>Phase 4 - Integrations &amp; BI</v>
      </c>
      <c r="J11" s="4" t="str">
        <f>IF('Master Tracker'!J42="","",'Master Tracker'!J42)</f>
        <v/>
      </c>
      <c r="K11" s="4" t="str">
        <f>IF('Master Tracker'!K42="","",'Master Tracker'!K42)</f>
        <v>Not Started</v>
      </c>
      <c r="L11" s="4" t="str">
        <f>IF('Master Tracker'!L42="","",'Master Tracker'!L42)</f>
        <v/>
      </c>
      <c r="M11" s="18" t="str">
        <f>IF('Master Tracker'!M42="","",'Master Tracker'!M42)</f>
        <v/>
      </c>
      <c r="N11" s="4" t="str">
        <f>IF('Master Tracker'!N42="","",'Master Tracker'!N42)</f>
        <v/>
      </c>
    </row>
    <row r="12" spans="1:14" ht="22.65" customHeight="1" x14ac:dyDescent="0.45">
      <c r="A12" s="13" t="str">
        <f>IF('Master Tracker'!A43="","",'Master Tracker'!A43)</f>
        <v>☐</v>
      </c>
      <c r="B12" s="14" t="str">
        <f>IF('Master Tracker'!B43="","",'Master Tracker'!B43)</f>
        <v>T-038</v>
      </c>
      <c r="C12" s="4" t="str">
        <f>IF('Master Tracker'!C43="","",'Master Tracker'!C43)</f>
        <v>Operations</v>
      </c>
      <c r="D12" s="4" t="str">
        <f>IF('Master Tracker'!D43="","",'Master Tracker'!D43)</f>
        <v>Live Control</v>
      </c>
      <c r="E12" s="15" t="str">
        <f>IF('Master Tracker'!E43="","",'Master Tracker'!E43)</f>
        <v>Create breakdown escalation workflow</v>
      </c>
      <c r="F12" s="15" t="str">
        <f>IF('Master Tracker'!F43="","",'Master Tracker'!F43)</f>
        <v>Different path for owned, rented and rider-owned vehicle incidents</v>
      </c>
      <c r="G12" s="15" t="str">
        <f>IF('Master Tracker'!G43="","",'Master Tracker'!G43)</f>
        <v>All (varies by source type)</v>
      </c>
      <c r="H12" s="4" t="str">
        <f>IF('Master Tracker'!H43="","",'Master Tracker'!H43)</f>
        <v>Critical</v>
      </c>
      <c r="I12" s="15" t="str">
        <f>IF('Master Tracker'!I43="","",'Master Tracker'!I43)</f>
        <v>Phase 2 - Core Operations</v>
      </c>
      <c r="J12" s="4" t="str">
        <f>IF('Master Tracker'!J43="","",'Master Tracker'!J43)</f>
        <v/>
      </c>
      <c r="K12" s="4" t="str">
        <f>IF('Master Tracker'!K43="","",'Master Tracker'!K43)</f>
        <v>Not Started</v>
      </c>
      <c r="L12" s="4" t="str">
        <f>IF('Master Tracker'!L43="","",'Master Tracker'!L43)</f>
        <v/>
      </c>
      <c r="M12" s="18" t="str">
        <f>IF('Master Tracker'!M43="","",'Master Tracker'!M43)</f>
        <v/>
      </c>
      <c r="N12" s="4" t="str">
        <f>IF('Master Tracker'!N43="","",'Master Tracker'!N43)</f>
        <v/>
      </c>
    </row>
    <row r="13" spans="1:14" ht="22.65" customHeight="1" x14ac:dyDescent="0.45">
      <c r="A13" s="13" t="str">
        <f>IF('Master Tracker'!A44="","",'Master Tracker'!A44)</f>
        <v>☐</v>
      </c>
      <c r="B13" s="14" t="str">
        <f>IF('Master Tracker'!B44="","",'Master Tracker'!B44)</f>
        <v>T-039</v>
      </c>
      <c r="C13" s="4" t="str">
        <f>IF('Master Tracker'!C44="","",'Master Tracker'!C44)</f>
        <v>Operations</v>
      </c>
      <c r="D13" s="4" t="str">
        <f>IF('Master Tracker'!D44="","",'Master Tracker'!D44)</f>
        <v>Attendance</v>
      </c>
      <c r="E13" s="15" t="str">
        <f>IF('Master Tracker'!E44="","",'Master Tracker'!E44)</f>
        <v>Connect attendance to operations roster</v>
      </c>
      <c r="F13" s="15" t="str">
        <f>IF('Master Tracker'!F44="","",'Master Tracker'!F44)</f>
        <v>Show no-shows, late arrivals and active shift status in ops view</v>
      </c>
      <c r="G13" s="15" t="str">
        <f>IF('Master Tracker'!G44="","",'Master Tracker'!G44)</f>
        <v>All</v>
      </c>
      <c r="H13" s="4" t="str">
        <f>IF('Master Tracker'!H44="","",'Master Tracker'!H44)</f>
        <v>High</v>
      </c>
      <c r="I13" s="15" t="str">
        <f>IF('Master Tracker'!I44="","",'Master Tracker'!I44)</f>
        <v>Phase 2 - Core Operations</v>
      </c>
      <c r="J13" s="4" t="str">
        <f>IF('Master Tracker'!J44="","",'Master Tracker'!J44)</f>
        <v/>
      </c>
      <c r="K13" s="4" t="str">
        <f>IF('Master Tracker'!K44="","",'Master Tracker'!K44)</f>
        <v>Not Started</v>
      </c>
      <c r="L13" s="4" t="str">
        <f>IF('Master Tracker'!L44="","",'Master Tracker'!L44)</f>
        <v/>
      </c>
      <c r="M13" s="18" t="str">
        <f>IF('Master Tracker'!M44="","",'Master Tracker'!M44)</f>
        <v/>
      </c>
      <c r="N13" s="4" t="str">
        <f>IF('Master Tracker'!N44="","",'Master Tracker'!N44)</f>
        <v/>
      </c>
    </row>
    <row r="14" spans="1:14" ht="22.65" customHeight="1" x14ac:dyDescent="0.45">
      <c r="A14" s="13" t="str">
        <f>IF('Master Tracker'!A45="","",'Master Tracker'!A45)</f>
        <v>☐</v>
      </c>
      <c r="B14" s="14" t="str">
        <f>IF('Master Tracker'!B45="","",'Master Tracker'!B45)</f>
        <v>T-040</v>
      </c>
      <c r="C14" s="4" t="str">
        <f>IF('Master Tracker'!C45="","",'Master Tracker'!C45)</f>
        <v>Operations</v>
      </c>
      <c r="D14" s="4" t="str">
        <f>IF('Master Tracker'!D45="","",'Master Tracker'!D45)</f>
        <v>Orders</v>
      </c>
      <c r="E14" s="15" t="str">
        <f>IF('Master Tracker'!E45="","",'Master Tracker'!E45)</f>
        <v>Create manual order import fallback process</v>
      </c>
      <c r="F14" s="15" t="str">
        <f>IF('Master Tracker'!F45="","",'Master Tracker'!F45)</f>
        <v>CSV/manual upload when API is unavailable</v>
      </c>
      <c r="G14" s="15" t="str">
        <f>IF('Master Tracker'!G45="","",'Master Tracker'!G45)</f>
        <v>All</v>
      </c>
      <c r="H14" s="4" t="str">
        <f>IF('Master Tracker'!H45="","",'Master Tracker'!H45)</f>
        <v>Medium</v>
      </c>
      <c r="I14" s="15" t="str">
        <f>IF('Master Tracker'!I45="","",'Master Tracker'!I45)</f>
        <v>Phase 2 - Core Operations</v>
      </c>
      <c r="J14" s="4" t="str">
        <f>IF('Master Tracker'!J45="","",'Master Tracker'!J45)</f>
        <v/>
      </c>
      <c r="K14" s="4" t="str">
        <f>IF('Master Tracker'!K45="","",'Master Tracker'!K45)</f>
        <v>Not Started</v>
      </c>
      <c r="L14" s="4" t="str">
        <f>IF('Master Tracker'!L45="","",'Master Tracker'!L45)</f>
        <v/>
      </c>
      <c r="M14" s="18" t="str">
        <f>IF('Master Tracker'!M45="","",'Master Tracker'!M45)</f>
        <v/>
      </c>
      <c r="N14" s="4" t="str">
        <f>IF('Master Tracker'!N45="","",'Master Tracker'!N45)</f>
        <v/>
      </c>
    </row>
    <row r="15" spans="1:14" ht="22.65" customHeight="1" x14ac:dyDescent="0.45">
      <c r="A15" s="13" t="str">
        <f>IF('Master Tracker'!A46="","",'Master Tracker'!A46)</f>
        <v>☐</v>
      </c>
      <c r="B15" s="14" t="str">
        <f>IF('Master Tracker'!B46="","",'Master Tracker'!B46)</f>
        <v>T-041</v>
      </c>
      <c r="C15" s="4" t="str">
        <f>IF('Master Tracker'!C46="","",'Master Tracker'!C46)</f>
        <v>Operations</v>
      </c>
      <c r="D15" s="4" t="str">
        <f>IF('Master Tracker'!D46="","",'Master Tracker'!D46)</f>
        <v>Orders</v>
      </c>
      <c r="E15" s="15" t="str">
        <f>IF('Master Tracker'!E46="","",'Master Tracker'!E46)</f>
        <v>Define order reconciliation process</v>
      </c>
      <c r="F15" s="15" t="str">
        <f>IF('Master Tracker'!F46="","",'Master Tracker'!F46)</f>
        <v>Validate order count, distance, earnings and rider mapping against aggregator data</v>
      </c>
      <c r="G15" s="15" t="str">
        <f>IF('Master Tracker'!G46="","",'Master Tracker'!G46)</f>
        <v>All</v>
      </c>
      <c r="H15" s="4" t="str">
        <f>IF('Master Tracker'!H46="","",'Master Tracker'!H46)</f>
        <v>Critical</v>
      </c>
      <c r="I15" s="15" t="str">
        <f>IF('Master Tracker'!I46="","",'Master Tracker'!I46)</f>
        <v>Phase 3 - Finance &amp; Control</v>
      </c>
      <c r="J15" s="4" t="str">
        <f>IF('Master Tracker'!J46="","",'Master Tracker'!J46)</f>
        <v/>
      </c>
      <c r="K15" s="4" t="str">
        <f>IF('Master Tracker'!K46="","",'Master Tracker'!K46)</f>
        <v>Not Started</v>
      </c>
      <c r="L15" s="4" t="str">
        <f>IF('Master Tracker'!L46="","",'Master Tracker'!L46)</f>
        <v/>
      </c>
      <c r="M15" s="18" t="str">
        <f>IF('Master Tracker'!M46="","",'Master Tracker'!M46)</f>
        <v/>
      </c>
      <c r="N15" s="4" t="str">
        <f>IF('Master Tracker'!N46="","",'Master Tracker'!N46)</f>
        <v/>
      </c>
    </row>
    <row r="16" spans="1:14" ht="22.65" customHeight="1" x14ac:dyDescent="0.45">
      <c r="A16" s="13" t="str">
        <f>IF('Master Tracker'!A47="","",'Master Tracker'!A47)</f>
        <v>☐</v>
      </c>
      <c r="B16" s="14" t="str">
        <f>IF('Master Tracker'!B47="","",'Master Tracker'!B47)</f>
        <v>T-042</v>
      </c>
      <c r="C16" s="4" t="str">
        <f>IF('Master Tracker'!C47="","",'Master Tracker'!C47)</f>
        <v>Operations</v>
      </c>
      <c r="D16" s="4" t="str">
        <f>IF('Master Tracker'!D47="","",'Master Tracker'!D47)</f>
        <v>Orders</v>
      </c>
      <c r="E16" s="15" t="str">
        <f>IF('Master Tracker'!E47="","",'Master Tracker'!E47)</f>
        <v>Build exception queue for unassigned or mismatched orders</v>
      </c>
      <c r="F16" s="15" t="str">
        <f>IF('Master Tracker'!F47="","",'Master Tracker'!F47)</f>
        <v>Surface issues where order, rider or vehicle mapping fails</v>
      </c>
      <c r="G16" s="15" t="str">
        <f>IF('Master Tracker'!G47="","",'Master Tracker'!G47)</f>
        <v>All</v>
      </c>
      <c r="H16" s="4" t="str">
        <f>IF('Master Tracker'!H47="","",'Master Tracker'!H47)</f>
        <v>High</v>
      </c>
      <c r="I16" s="15" t="str">
        <f>IF('Master Tracker'!I47="","",'Master Tracker'!I47)</f>
        <v>Phase 2 - Core Operations</v>
      </c>
      <c r="J16" s="4" t="str">
        <f>IF('Master Tracker'!J47="","",'Master Tracker'!J47)</f>
        <v/>
      </c>
      <c r="K16" s="4" t="str">
        <f>IF('Master Tracker'!K47="","",'Master Tracker'!K47)</f>
        <v>Not Started</v>
      </c>
      <c r="L16" s="4" t="str">
        <f>IF('Master Tracker'!L47="","",'Master Tracker'!L47)</f>
        <v/>
      </c>
      <c r="M16" s="18" t="str">
        <f>IF('Master Tracker'!M47="","",'Master Tracker'!M47)</f>
        <v/>
      </c>
      <c r="N16" s="4" t="str">
        <f>IF('Master Tracker'!N47="","",'Master Tracker'!N47)</f>
        <v/>
      </c>
    </row>
    <row r="17" spans="1:14" ht="22.65" customHeight="1" x14ac:dyDescent="0.45">
      <c r="A17" s="13" t="str">
        <f>IF('Master Tracker'!A48="","",'Master Tracker'!A48)</f>
        <v>☐</v>
      </c>
      <c r="B17" s="14" t="str">
        <f>IF('Master Tracker'!B48="","",'Master Tracker'!B48)</f>
        <v>T-043</v>
      </c>
      <c r="C17" s="4" t="str">
        <f>IF('Master Tracker'!C48="","",'Master Tracker'!C48)</f>
        <v>Operations</v>
      </c>
      <c r="D17" s="4" t="str">
        <f>IF('Master Tracker'!D48="","",'Master Tracker'!D48)</f>
        <v>Incidents</v>
      </c>
      <c r="E17" s="15" t="str">
        <f>IF('Master Tracker'!E48="","",'Master Tracker'!E48)</f>
        <v>Define accident / incident operating procedure</v>
      </c>
      <c r="F17" s="15" t="str">
        <f>IF('Master Tracker'!F48="","",'Master Tracker'!F48)</f>
        <v>Who escalates, who approves, what evidence is required</v>
      </c>
      <c r="G17" s="15" t="str">
        <f>IF('Master Tracker'!G48="","",'Master Tracker'!G48)</f>
        <v>All</v>
      </c>
      <c r="H17" s="4" t="str">
        <f>IF('Master Tracker'!H48="","",'Master Tracker'!H48)</f>
        <v>High</v>
      </c>
      <c r="I17" s="15" t="str">
        <f>IF('Master Tracker'!I48="","",'Master Tracker'!I48)</f>
        <v>Phase 2 - Core Operations</v>
      </c>
      <c r="J17" s="4" t="str">
        <f>IF('Master Tracker'!J48="","",'Master Tracker'!J48)</f>
        <v/>
      </c>
      <c r="K17" s="4" t="str">
        <f>IF('Master Tracker'!K48="","",'Master Tracker'!K48)</f>
        <v>Not Started</v>
      </c>
      <c r="L17" s="4" t="str">
        <f>IF('Master Tracker'!L48="","",'Master Tracker'!L48)</f>
        <v/>
      </c>
      <c r="M17" s="18" t="str">
        <f>IF('Master Tracker'!M48="","",'Master Tracker'!M48)</f>
        <v/>
      </c>
      <c r="N17" s="4" t="str">
        <f>IF('Master Tracker'!N48="","",'Master Tracker'!N48)</f>
        <v/>
      </c>
    </row>
    <row r="18" spans="1:14" ht="22.65" customHeight="1" x14ac:dyDescent="0.45">
      <c r="A18" s="13" t="str">
        <f>IF('Master Tracker'!A49="","",'Master Tracker'!A49)</f>
        <v>☐</v>
      </c>
      <c r="B18" s="14" t="str">
        <f>IF('Master Tracker'!B49="","",'Master Tracker'!B49)</f>
        <v>T-044</v>
      </c>
      <c r="C18" s="4" t="str">
        <f>IF('Master Tracker'!C49="","",'Master Tracker'!C49)</f>
        <v>Operations</v>
      </c>
      <c r="D18" s="4" t="str">
        <f>IF('Master Tracker'!D49="","",'Master Tracker'!D49)</f>
        <v>Resources</v>
      </c>
      <c r="E18" s="15" t="str">
        <f>IF('Master Tracker'!E49="","",'Master Tracker'!E49)</f>
        <v>Define spare / replacement vehicle dispatch logic</v>
      </c>
      <c r="F18" s="15" t="str">
        <f>IF('Master Tracker'!F49="","",'Master Tracker'!F49)</f>
        <v>How fast replacement happens and who is eligible</v>
      </c>
      <c r="G18" s="15" t="str">
        <f>IF('Master Tracker'!G49="","",'Master Tracker'!G49)</f>
        <v>Owned + Rented</v>
      </c>
      <c r="H18" s="4" t="str">
        <f>IF('Master Tracker'!H49="","",'Master Tracker'!H49)</f>
        <v>High</v>
      </c>
      <c r="I18" s="15" t="str">
        <f>IF('Master Tracker'!I49="","",'Master Tracker'!I49)</f>
        <v>Phase 2 - Core Operations</v>
      </c>
      <c r="J18" s="4" t="str">
        <f>IF('Master Tracker'!J49="","",'Master Tracker'!J49)</f>
        <v/>
      </c>
      <c r="K18" s="4" t="str">
        <f>IF('Master Tracker'!K49="","",'Master Tracker'!K49)</f>
        <v>Not Started</v>
      </c>
      <c r="L18" s="4" t="str">
        <f>IF('Master Tracker'!L49="","",'Master Tracker'!L49)</f>
        <v/>
      </c>
      <c r="M18" s="18" t="str">
        <f>IF('Master Tracker'!M49="","",'Master Tracker'!M49)</f>
        <v/>
      </c>
      <c r="N18" s="4" t="str">
        <f>IF('Master Tracker'!N49="","",'Master Tracker'!N49)</f>
        <v/>
      </c>
    </row>
    <row r="19" spans="1:14" ht="22.65" customHeight="1" x14ac:dyDescent="0.45">
      <c r="A19" s="13" t="str">
        <f>IF('Master Tracker'!A50="","",'Master Tracker'!A50)</f>
        <v>☐</v>
      </c>
      <c r="B19" s="14" t="str">
        <f>IF('Master Tracker'!B50="","",'Master Tracker'!B50)</f>
        <v>T-045</v>
      </c>
      <c r="C19" s="4" t="str">
        <f>IF('Master Tracker'!C50="","",'Master Tracker'!C50)</f>
        <v>Operations</v>
      </c>
      <c r="D19" s="4" t="str">
        <f>IF('Master Tracker'!D50="","",'Master Tracker'!D50)</f>
        <v>Resources</v>
      </c>
      <c r="E19" s="15" t="str">
        <f>IF('Master Tracker'!E50="","",'Master Tracker'!E50)</f>
        <v>Create rider-owned breakdown support policy</v>
      </c>
      <c r="F19" s="15" t="str">
        <f>IF('Master Tracker'!F50="","",'Master Tracker'!F50)</f>
        <v>Clarify when the company helps and when the rider remains responsible</v>
      </c>
      <c r="G19" s="15" t="str">
        <f>IF('Master Tracker'!G50="","",'Master Tracker'!G50)</f>
        <v>Rider-Owned Only</v>
      </c>
      <c r="H19" s="4" t="str">
        <f>IF('Master Tracker'!H50="","",'Master Tracker'!H50)</f>
        <v>Medium</v>
      </c>
      <c r="I19" s="15" t="str">
        <f>IF('Master Tracker'!I50="","",'Master Tracker'!I50)</f>
        <v>Phase 3 - Finance &amp; Control</v>
      </c>
      <c r="J19" s="4" t="str">
        <f>IF('Master Tracker'!J50="","",'Master Tracker'!J50)</f>
        <v/>
      </c>
      <c r="K19" s="4" t="str">
        <f>IF('Master Tracker'!K50="","",'Master Tracker'!K50)</f>
        <v>Not Started</v>
      </c>
      <c r="L19" s="4" t="str">
        <f>IF('Master Tracker'!L50="","",'Master Tracker'!L50)</f>
        <v/>
      </c>
      <c r="M19" s="18" t="str">
        <f>IF('Master Tracker'!M50="","",'Master Tracker'!M50)</f>
        <v/>
      </c>
      <c r="N19" s="4" t="str">
        <f>IF('Master Tracker'!N50="","",'Master Tracker'!N50)</f>
        <v/>
      </c>
    </row>
    <row r="20" spans="1:14" ht="22.65" customHeight="1" x14ac:dyDescent="0.45">
      <c r="A20" s="13" t="str">
        <f>IF('Master Tracker'!A51="","",'Master Tracker'!A51)</f>
        <v>☐</v>
      </c>
      <c r="B20" s="14" t="str">
        <f>IF('Master Tracker'!B51="","",'Master Tracker'!B51)</f>
        <v>T-046</v>
      </c>
      <c r="C20" s="4" t="str">
        <f>IF('Master Tracker'!C51="","",'Master Tracker'!C51)</f>
        <v>Operations</v>
      </c>
      <c r="D20" s="4" t="str">
        <f>IF('Master Tracker'!D51="","",'Master Tracker'!D51)</f>
        <v>Dashboard</v>
      </c>
      <c r="E20" s="15" t="str">
        <f>IF('Master Tracker'!E51="","",'Master Tracker'!E51)</f>
        <v>Define operations dashboard metrics</v>
      </c>
      <c r="F20" s="15" t="str">
        <f>IF('Master Tracker'!F51="","",'Master Tracker'!F51)</f>
        <v>Orders per rider, late deliveries, attendance gaps and downtime</v>
      </c>
      <c r="G20" s="15" t="str">
        <f>IF('Master Tracker'!G51="","",'Master Tracker'!G51)</f>
        <v>All</v>
      </c>
      <c r="H20" s="4" t="str">
        <f>IF('Master Tracker'!H51="","",'Master Tracker'!H51)</f>
        <v>Medium</v>
      </c>
      <c r="I20" s="15" t="str">
        <f>IF('Master Tracker'!I51="","",'Master Tracker'!I51)</f>
        <v>Phase 4 - Integrations &amp; BI</v>
      </c>
      <c r="J20" s="4" t="str">
        <f>IF('Master Tracker'!J51="","",'Master Tracker'!J51)</f>
        <v/>
      </c>
      <c r="K20" s="4" t="str">
        <f>IF('Master Tracker'!K51="","",'Master Tracker'!K51)</f>
        <v>Not Started</v>
      </c>
      <c r="L20" s="4" t="str">
        <f>IF('Master Tracker'!L51="","",'Master Tracker'!L51)</f>
        <v/>
      </c>
      <c r="M20" s="18" t="str">
        <f>IF('Master Tracker'!M51="","",'Master Tracker'!M51)</f>
        <v/>
      </c>
      <c r="N20" s="4" t="str">
        <f>IF('Master Tracker'!N51="","",'Master Tracker'!N51)</f>
        <v/>
      </c>
    </row>
  </sheetData>
  <mergeCells count="2">
    <mergeCell ref="A2:N3"/>
    <mergeCell ref="A1:N1"/>
  </mergeCells>
  <conditionalFormatting sqref="H6:H20">
    <cfRule type="expression" dxfId="44" priority="5">
      <formula>$H6="Critical"</formula>
    </cfRule>
    <cfRule type="expression" dxfId="43" priority="6">
      <formula>$H6="High"</formula>
    </cfRule>
    <cfRule type="expression" dxfId="42" priority="7">
      <formula>$H6="Low"</formula>
    </cfRule>
  </conditionalFormatting>
  <conditionalFormatting sqref="K6:K20">
    <cfRule type="expression" dxfId="41" priority="1">
      <formula>$K6="Done"</formula>
    </cfRule>
    <cfRule type="expression" dxfId="40" priority="2">
      <formula>$K6="In Progress"</formula>
    </cfRule>
    <cfRule type="expression" dxfId="39" priority="3">
      <formula>$K6="Blocked"</formula>
    </cfRule>
    <cfRule type="expression" dxfId="38" priority="4">
      <formula>$K6="Not Started"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"/>
  <sheetViews>
    <sheetView topLeftCell="A16" workbookViewId="0">
      <selection activeCell="F7" sqref="F7"/>
    </sheetView>
  </sheetViews>
  <sheetFormatPr defaultRowHeight="14.5" x14ac:dyDescent="0.35"/>
  <cols>
    <col min="1" max="1" width="12.81640625" bestFit="1" customWidth="1"/>
    <col min="2" max="2" width="11.453125" bestFit="1" customWidth="1"/>
    <col min="3" max="3" width="11.81640625" bestFit="1" customWidth="1"/>
    <col min="4" max="4" width="15.90625" bestFit="1" customWidth="1"/>
    <col min="5" max="5" width="51" bestFit="1" customWidth="1"/>
    <col min="6" max="6" width="60.7265625" bestFit="1" customWidth="1"/>
    <col min="7" max="7" width="22.36328125" bestFit="1" customWidth="1"/>
    <col min="8" max="8" width="11.54296875" bestFit="1" customWidth="1"/>
    <col min="9" max="9" width="23.81640625" bestFit="1" customWidth="1"/>
    <col min="10" max="10" width="15.7265625" bestFit="1" customWidth="1"/>
    <col min="11" max="11" width="10.6328125" bestFit="1" customWidth="1"/>
    <col min="12" max="12" width="11" bestFit="1" customWidth="1"/>
    <col min="13" max="13" width="15.1796875" bestFit="1" customWidth="1"/>
    <col min="14" max="14" width="10.26953125" bestFit="1" customWidth="1"/>
  </cols>
  <sheetData>
    <row r="1" spans="1:14" ht="16" customHeight="1" x14ac:dyDescent="0.35">
      <c r="A1" s="27" t="s">
        <v>443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65" customHeight="1" x14ac:dyDescent="0.35">
      <c r="A2" s="26" t="s">
        <v>444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ht="17.399999999999999" customHeight="1" x14ac:dyDescent="0.35">
      <c r="A5" s="3" t="s">
        <v>45</v>
      </c>
      <c r="B5" s="3" t="s">
        <v>46</v>
      </c>
      <c r="C5" s="3" t="s">
        <v>32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ht="22.65" customHeight="1" x14ac:dyDescent="0.45">
      <c r="A6" s="13" t="str">
        <f>IF('Master Tracker'!A52="","",'Master Tracker'!A52)</f>
        <v>☐</v>
      </c>
      <c r="B6" s="14" t="str">
        <f>IF('Master Tracker'!B52="","",'Master Tracker'!B52)</f>
        <v>T-047</v>
      </c>
      <c r="C6" s="4" t="str">
        <f>IF('Master Tracker'!C52="","",'Master Tracker'!C52)</f>
        <v>Fleet</v>
      </c>
      <c r="D6" s="4" t="str">
        <f>IF('Master Tracker'!D52="","",'Master Tracker'!D52)</f>
        <v>Vehicle Master</v>
      </c>
      <c r="E6" s="15" t="str">
        <f>IF('Master Tracker'!E52="","",'Master Tracker'!E52)</f>
        <v>Define vehicle onboarding checklist</v>
      </c>
      <c r="F6" s="15" t="str">
        <f>IF('Master Tracker'!F52="","",'Master Tracker'!F52)</f>
        <v>Registration, insurance, photos, VIN/chassis and readiness check</v>
      </c>
      <c r="G6" s="15" t="str">
        <f>IF('Master Tracker'!G52="","",'Master Tracker'!G52)</f>
        <v>All</v>
      </c>
      <c r="H6" s="4" t="str">
        <f>IF('Master Tracker'!H52="","",'Master Tracker'!H52)</f>
        <v>Critical</v>
      </c>
      <c r="I6" s="15" t="str">
        <f>IF('Master Tracker'!I52="","",'Master Tracker'!I52)</f>
        <v>Phase 1 - Foundation</v>
      </c>
      <c r="J6" s="4" t="str">
        <f>IF('Master Tracker'!J52="","",'Master Tracker'!J52)</f>
        <v/>
      </c>
      <c r="K6" s="4" t="str">
        <f>IF('Master Tracker'!K52="","",'Master Tracker'!K52)</f>
        <v>Not Started</v>
      </c>
      <c r="L6" s="4" t="str">
        <f>IF('Master Tracker'!L52="","",'Master Tracker'!L52)</f>
        <v/>
      </c>
      <c r="M6" s="18" t="str">
        <f>IF('Master Tracker'!M52="","",'Master Tracker'!M52)</f>
        <v/>
      </c>
      <c r="N6" s="4" t="str">
        <f>IF('Master Tracker'!N52="","",'Master Tracker'!N52)</f>
        <v/>
      </c>
    </row>
    <row r="7" spans="1:14" ht="22.65" customHeight="1" x14ac:dyDescent="0.45">
      <c r="A7" s="13" t="str">
        <f>IF('Master Tracker'!A53="","",'Master Tracker'!A53)</f>
        <v>☐</v>
      </c>
      <c r="B7" s="14" t="str">
        <f>IF('Master Tracker'!B53="","",'Master Tracker'!B53)</f>
        <v>T-048</v>
      </c>
      <c r="C7" s="4" t="str">
        <f>IF('Master Tracker'!C53="","",'Master Tracker'!C53)</f>
        <v>Fleet</v>
      </c>
      <c r="D7" s="4" t="str">
        <f>IF('Master Tracker'!D53="","",'Master Tracker'!D53)</f>
        <v>Vehicle Master</v>
      </c>
      <c r="E7" s="15" t="str">
        <f>IF('Master Tracker'!E53="","",'Master Tracker'!E53)</f>
        <v>Create source-type-specific field requirements</v>
      </c>
      <c r="F7" s="15" t="str">
        <f>IF('Master Tracker'!F53="","",'Master Tracker'!F53)</f>
        <v>Owned purchase data, rental contract data, rider ownership proof</v>
      </c>
      <c r="G7" s="15" t="str">
        <f>IF('Master Tracker'!G53="","",'Master Tracker'!G53)</f>
        <v>All (varies by source type)</v>
      </c>
      <c r="H7" s="4" t="str">
        <f>IF('Master Tracker'!H53="","",'Master Tracker'!H53)</f>
        <v>Critical</v>
      </c>
      <c r="I7" s="15" t="str">
        <f>IF('Master Tracker'!I53="","",'Master Tracker'!I53)</f>
        <v>Phase 1 - Foundation</v>
      </c>
      <c r="J7" s="4" t="str">
        <f>IF('Master Tracker'!J53="","",'Master Tracker'!J53)</f>
        <v/>
      </c>
      <c r="K7" s="4" t="str">
        <f>IF('Master Tracker'!K53="","",'Master Tracker'!K53)</f>
        <v>Not Started</v>
      </c>
      <c r="L7" s="4" t="str">
        <f>IF('Master Tracker'!L53="","",'Master Tracker'!L53)</f>
        <v/>
      </c>
      <c r="M7" s="18" t="str">
        <f>IF('Master Tracker'!M53="","",'Master Tracker'!M53)</f>
        <v/>
      </c>
      <c r="N7" s="4" t="str">
        <f>IF('Master Tracker'!N53="","",'Master Tracker'!N53)</f>
        <v/>
      </c>
    </row>
    <row r="8" spans="1:14" ht="22.65" customHeight="1" x14ac:dyDescent="0.45">
      <c r="A8" s="13" t="str">
        <f>IF('Master Tracker'!A54="","",'Master Tracker'!A54)</f>
        <v>☐</v>
      </c>
      <c r="B8" s="14" t="str">
        <f>IF('Master Tracker'!B54="","",'Master Tracker'!B54)</f>
        <v>T-049</v>
      </c>
      <c r="C8" s="4" t="str">
        <f>IF('Master Tracker'!C54="","",'Master Tracker'!C54)</f>
        <v>Fleet</v>
      </c>
      <c r="D8" s="4" t="str">
        <f>IF('Master Tracker'!D54="","",'Master Tracker'!D54)</f>
        <v>Vehicle Master</v>
      </c>
      <c r="E8" s="15" t="str">
        <f>IF('Master Tracker'!E54="","",'Master Tracker'!E54)</f>
        <v>Design supplier master for rented vehicles</v>
      </c>
      <c r="F8" s="15" t="str">
        <f>IF('Master Tracker'!F54="","",'Master Tracker'!F54)</f>
        <v>Supplier contacts, contracts, rates, replacement terms and SLA</v>
      </c>
      <c r="G8" s="15" t="str">
        <f>IF('Master Tracker'!G54="","",'Master Tracker'!G54)</f>
        <v>Rented Only</v>
      </c>
      <c r="H8" s="4" t="str">
        <f>IF('Master Tracker'!H54="","",'Master Tracker'!H54)</f>
        <v>High</v>
      </c>
      <c r="I8" s="15" t="str">
        <f>IF('Master Tracker'!I54="","",'Master Tracker'!I54)</f>
        <v>Phase 1 - Foundation</v>
      </c>
      <c r="J8" s="4" t="str">
        <f>IF('Master Tracker'!J54="","",'Master Tracker'!J54)</f>
        <v/>
      </c>
      <c r="K8" s="4" t="str">
        <f>IF('Master Tracker'!K54="","",'Master Tracker'!K54)</f>
        <v>Not Started</v>
      </c>
      <c r="L8" s="4" t="str">
        <f>IF('Master Tracker'!L54="","",'Master Tracker'!L54)</f>
        <v/>
      </c>
      <c r="M8" s="18" t="str">
        <f>IF('Master Tracker'!M54="","",'Master Tracker'!M54)</f>
        <v/>
      </c>
      <c r="N8" s="4" t="str">
        <f>IF('Master Tracker'!N54="","",'Master Tracker'!N54)</f>
        <v/>
      </c>
    </row>
    <row r="9" spans="1:14" ht="22.65" customHeight="1" x14ac:dyDescent="0.45">
      <c r="A9" s="13" t="str">
        <f>IF('Master Tracker'!A55="","",'Master Tracker'!A55)</f>
        <v>☐</v>
      </c>
      <c r="B9" s="14" t="str">
        <f>IF('Master Tracker'!B55="","",'Master Tracker'!B55)</f>
        <v>T-050</v>
      </c>
      <c r="C9" s="4" t="str">
        <f>IF('Master Tracker'!C55="","",'Master Tracker'!C55)</f>
        <v>Fleet</v>
      </c>
      <c r="D9" s="4" t="str">
        <f>IF('Master Tracker'!D55="","",'Master Tracker'!D55)</f>
        <v>Vehicle Master</v>
      </c>
      <c r="E9" s="15" t="str">
        <f>IF('Master Tracker'!E55="","",'Master Tracker'!E55)</f>
        <v>Design owned fleet asset profile</v>
      </c>
      <c r="F9" s="15" t="str">
        <f>IF('Master Tracker'!F55="","",'Master Tracker'!F55)</f>
        <v>Purchase date, capex, expected life and disposal method</v>
      </c>
      <c r="G9" s="15" t="str">
        <f>IF('Master Tracker'!G55="","",'Master Tracker'!G55)</f>
        <v>Owned Only</v>
      </c>
      <c r="H9" s="4" t="str">
        <f>IF('Master Tracker'!H55="","",'Master Tracker'!H55)</f>
        <v>High</v>
      </c>
      <c r="I9" s="15" t="str">
        <f>IF('Master Tracker'!I55="","",'Master Tracker'!I55)</f>
        <v>Phase 1 - Foundation</v>
      </c>
      <c r="J9" s="4" t="str">
        <f>IF('Master Tracker'!J55="","",'Master Tracker'!J55)</f>
        <v/>
      </c>
      <c r="K9" s="4" t="str">
        <f>IF('Master Tracker'!K55="","",'Master Tracker'!K55)</f>
        <v>Not Started</v>
      </c>
      <c r="L9" s="4" t="str">
        <f>IF('Master Tracker'!L55="","",'Master Tracker'!L55)</f>
        <v/>
      </c>
      <c r="M9" s="18" t="str">
        <f>IF('Master Tracker'!M55="","",'Master Tracker'!M55)</f>
        <v/>
      </c>
      <c r="N9" s="4" t="str">
        <f>IF('Master Tracker'!N55="","",'Master Tracker'!N55)</f>
        <v/>
      </c>
    </row>
    <row r="10" spans="1:14" ht="22.65" customHeight="1" x14ac:dyDescent="0.45">
      <c r="A10" s="13" t="str">
        <f>IF('Master Tracker'!A56="","",'Master Tracker'!A56)</f>
        <v>☐</v>
      </c>
      <c r="B10" s="14" t="str">
        <f>IF('Master Tracker'!B56="","",'Master Tracker'!B56)</f>
        <v>T-051</v>
      </c>
      <c r="C10" s="4" t="str">
        <f>IF('Master Tracker'!C56="","",'Master Tracker'!C56)</f>
        <v>Fleet</v>
      </c>
      <c r="D10" s="4" t="str">
        <f>IF('Master Tracker'!D56="","",'Master Tracker'!D56)</f>
        <v>Vehicle Master</v>
      </c>
      <c r="E10" s="15" t="str">
        <f>IF('Master Tracker'!E56="","",'Master Tracker'!E56)</f>
        <v>Design rider-owned approval workflow</v>
      </c>
      <c r="F10" s="15" t="str">
        <f>IF('Master Tracker'!F56="","",'Master Tracker'!F56)</f>
        <v>Ownership proof, inspection, insurance and registration validation</v>
      </c>
      <c r="G10" s="15" t="str">
        <f>IF('Master Tracker'!G56="","",'Master Tracker'!G56)</f>
        <v>Rider-Owned Only</v>
      </c>
      <c r="H10" s="4" t="str">
        <f>IF('Master Tracker'!H56="","",'Master Tracker'!H56)</f>
        <v>Critical</v>
      </c>
      <c r="I10" s="15" t="str">
        <f>IF('Master Tracker'!I56="","",'Master Tracker'!I56)</f>
        <v>Phase 1 - Foundation</v>
      </c>
      <c r="J10" s="4" t="str">
        <f>IF('Master Tracker'!J56="","",'Master Tracker'!J56)</f>
        <v/>
      </c>
      <c r="K10" s="4" t="str">
        <f>IF('Master Tracker'!K56="","",'Master Tracker'!K56)</f>
        <v>Not Started</v>
      </c>
      <c r="L10" s="4" t="str">
        <f>IF('Master Tracker'!L56="","",'Master Tracker'!L56)</f>
        <v/>
      </c>
      <c r="M10" s="18" t="str">
        <f>IF('Master Tracker'!M56="","",'Master Tracker'!M56)</f>
        <v/>
      </c>
      <c r="N10" s="4" t="str">
        <f>IF('Master Tracker'!N56="","",'Master Tracker'!N56)</f>
        <v/>
      </c>
    </row>
    <row r="11" spans="1:14" ht="22.65" customHeight="1" x14ac:dyDescent="0.45">
      <c r="A11" s="13" t="str">
        <f>IF('Master Tracker'!A57="","",'Master Tracker'!A57)</f>
        <v>☐</v>
      </c>
      <c r="B11" s="14" t="str">
        <f>IF('Master Tracker'!B57="","",'Master Tracker'!B57)</f>
        <v>T-052</v>
      </c>
      <c r="C11" s="4" t="str">
        <f>IF('Master Tracker'!C57="","",'Master Tracker'!C57)</f>
        <v>Fleet</v>
      </c>
      <c r="D11" s="4" t="str">
        <f>IF('Master Tracker'!D57="","",'Master Tracker'!D57)</f>
        <v>Assignments</v>
      </c>
      <c r="E11" s="15" t="str">
        <f>IF('Master Tracker'!E57="","",'Master Tracker'!E57)</f>
        <v>Implement vehicle assignment history and return flow</v>
      </c>
      <c r="F11" s="15" t="str">
        <f>IF('Master Tracker'!F57="","",'Master Tracker'!F57)</f>
        <v>Track every assignment, off-hire, replacement and return</v>
      </c>
      <c r="G11" s="15" t="str">
        <f>IF('Master Tracker'!G57="","",'Master Tracker'!G57)</f>
        <v>All</v>
      </c>
      <c r="H11" s="4" t="str">
        <f>IF('Master Tracker'!H57="","",'Master Tracker'!H57)</f>
        <v>Critical</v>
      </c>
      <c r="I11" s="15" t="str">
        <f>IF('Master Tracker'!I57="","",'Master Tracker'!I57)</f>
        <v>Phase 2 - Core Operations</v>
      </c>
      <c r="J11" s="4" t="str">
        <f>IF('Master Tracker'!J57="","",'Master Tracker'!J57)</f>
        <v/>
      </c>
      <c r="K11" s="4" t="str">
        <f>IF('Master Tracker'!K57="","",'Master Tracker'!K57)</f>
        <v>Not Started</v>
      </c>
      <c r="L11" s="4" t="str">
        <f>IF('Master Tracker'!L57="","",'Master Tracker'!L57)</f>
        <v/>
      </c>
      <c r="M11" s="18" t="str">
        <f>IF('Master Tracker'!M57="","",'Master Tracker'!M57)</f>
        <v/>
      </c>
      <c r="N11" s="4" t="str">
        <f>IF('Master Tracker'!N57="","",'Master Tracker'!N57)</f>
        <v/>
      </c>
    </row>
    <row r="12" spans="1:14" ht="22.65" customHeight="1" x14ac:dyDescent="0.45">
      <c r="A12" s="13" t="str">
        <f>IF('Master Tracker'!A58="","",'Master Tracker'!A58)</f>
        <v>☐</v>
      </c>
      <c r="B12" s="14" t="str">
        <f>IF('Master Tracker'!B58="","",'Master Tracker'!B58)</f>
        <v>T-053</v>
      </c>
      <c r="C12" s="4" t="str">
        <f>IF('Master Tracker'!C58="","",'Master Tracker'!C58)</f>
        <v>Fleet</v>
      </c>
      <c r="D12" s="4" t="str">
        <f>IF('Master Tracker'!D58="","",'Master Tracker'!D58)</f>
        <v>Assignments</v>
      </c>
      <c r="E12" s="15" t="str">
        <f>IF('Master Tracker'!E58="","",'Master Tracker'!E58)</f>
        <v>Create vehicle handover checklist</v>
      </c>
      <c r="F12" s="15" t="str">
        <f>IF('Master Tracker'!F58="","",'Master Tracker'!F58)</f>
        <v>Condition, accessories, damages, odometer and acknowledgment</v>
      </c>
      <c r="G12" s="15" t="str">
        <f>IF('Master Tracker'!G58="","",'Master Tracker'!G58)</f>
        <v>Owned + Rented</v>
      </c>
      <c r="H12" s="4" t="str">
        <f>IF('Master Tracker'!H58="","",'Master Tracker'!H58)</f>
        <v>High</v>
      </c>
      <c r="I12" s="15" t="str">
        <f>IF('Master Tracker'!I58="","",'Master Tracker'!I58)</f>
        <v>Phase 2 - Core Operations</v>
      </c>
      <c r="J12" s="4" t="str">
        <f>IF('Master Tracker'!J58="","",'Master Tracker'!J58)</f>
        <v/>
      </c>
      <c r="K12" s="4" t="str">
        <f>IF('Master Tracker'!K58="","",'Master Tracker'!K58)</f>
        <v>Not Started</v>
      </c>
      <c r="L12" s="4" t="str">
        <f>IF('Master Tracker'!L58="","",'Master Tracker'!L58)</f>
        <v/>
      </c>
      <c r="M12" s="18" t="str">
        <f>IF('Master Tracker'!M58="","",'Master Tracker'!M58)</f>
        <v/>
      </c>
      <c r="N12" s="4" t="str">
        <f>IF('Master Tracker'!N58="","",'Master Tracker'!N58)</f>
        <v/>
      </c>
    </row>
    <row r="13" spans="1:14" ht="22.65" customHeight="1" x14ac:dyDescent="0.45">
      <c r="A13" s="13" t="str">
        <f>IF('Master Tracker'!A59="","",'Master Tracker'!A59)</f>
        <v>☐</v>
      </c>
      <c r="B13" s="14" t="str">
        <f>IF('Master Tracker'!B59="","",'Master Tracker'!B59)</f>
        <v>T-054</v>
      </c>
      <c r="C13" s="4" t="str">
        <f>IF('Master Tracker'!C59="","",'Master Tracker'!C59)</f>
        <v>Fleet</v>
      </c>
      <c r="D13" s="4" t="str">
        <f>IF('Master Tracker'!D59="","",'Master Tracker'!D59)</f>
        <v>Maintenance</v>
      </c>
      <c r="E13" s="15" t="str">
        <f>IF('Master Tracker'!E59="","",'Master Tracker'!E59)</f>
        <v>Define preventive maintenance schedule</v>
      </c>
      <c r="F13" s="15" t="str">
        <f>IF('Master Tracker'!F59="","",'Master Tracker'!F59)</f>
        <v>Service intervals by km/time for company-controlled vehicles</v>
      </c>
      <c r="G13" s="15" t="str">
        <f>IF('Master Tracker'!G59="","",'Master Tracker'!G59)</f>
        <v>Owned + Rented</v>
      </c>
      <c r="H13" s="4" t="str">
        <f>IF('Master Tracker'!H59="","",'Master Tracker'!H59)</f>
        <v>High</v>
      </c>
      <c r="I13" s="15" t="str">
        <f>IF('Master Tracker'!I59="","",'Master Tracker'!I59)</f>
        <v>Phase 3 - Finance &amp; Control</v>
      </c>
      <c r="J13" s="4" t="str">
        <f>IF('Master Tracker'!J59="","",'Master Tracker'!J59)</f>
        <v/>
      </c>
      <c r="K13" s="4" t="str">
        <f>IF('Master Tracker'!K59="","",'Master Tracker'!K59)</f>
        <v>Not Started</v>
      </c>
      <c r="L13" s="4" t="str">
        <f>IF('Master Tracker'!L59="","",'Master Tracker'!L59)</f>
        <v/>
      </c>
      <c r="M13" s="18" t="str">
        <f>IF('Master Tracker'!M59="","",'Master Tracker'!M59)</f>
        <v/>
      </c>
      <c r="N13" s="4" t="str">
        <f>IF('Master Tracker'!N59="","",'Master Tracker'!N59)</f>
        <v/>
      </c>
    </row>
    <row r="14" spans="1:14" ht="22.65" customHeight="1" x14ac:dyDescent="0.45">
      <c r="A14" s="13" t="str">
        <f>IF('Master Tracker'!A60="","",'Master Tracker'!A60)</f>
        <v>☐</v>
      </c>
      <c r="B14" s="14" t="str">
        <f>IF('Master Tracker'!B60="","",'Master Tracker'!B60)</f>
        <v>T-055</v>
      </c>
      <c r="C14" s="4" t="str">
        <f>IF('Master Tracker'!C60="","",'Master Tracker'!C60)</f>
        <v>Fleet</v>
      </c>
      <c r="D14" s="4" t="str">
        <f>IF('Master Tracker'!D60="","",'Master Tracker'!D60)</f>
        <v>Maintenance</v>
      </c>
      <c r="E14" s="15" t="str">
        <f>IF('Master Tracker'!E60="","",'Master Tracker'!E60)</f>
        <v>Define maintenance routing rules by source type</v>
      </c>
      <c r="F14" s="15" t="str">
        <f>IF('Master Tracker'!F60="","",'Master Tracker'!F60)</f>
        <v>Supplier, internal workshop or rider responsibility</v>
      </c>
      <c r="G14" s="15" t="str">
        <f>IF('Master Tracker'!G60="","",'Master Tracker'!G60)</f>
        <v>All (varies by source type)</v>
      </c>
      <c r="H14" s="4" t="str">
        <f>IF('Master Tracker'!H60="","",'Master Tracker'!H60)</f>
        <v>Critical</v>
      </c>
      <c r="I14" s="15" t="str">
        <f>IF('Master Tracker'!I60="","",'Master Tracker'!I60)</f>
        <v>Phase 3 - Finance &amp; Control</v>
      </c>
      <c r="J14" s="4" t="str">
        <f>IF('Master Tracker'!J60="","",'Master Tracker'!J60)</f>
        <v/>
      </c>
      <c r="K14" s="4" t="str">
        <f>IF('Master Tracker'!K60="","",'Master Tracker'!K60)</f>
        <v>Not Started</v>
      </c>
      <c r="L14" s="4" t="str">
        <f>IF('Master Tracker'!L60="","",'Master Tracker'!L60)</f>
        <v/>
      </c>
      <c r="M14" s="18" t="str">
        <f>IF('Master Tracker'!M60="","",'Master Tracker'!M60)</f>
        <v/>
      </c>
      <c r="N14" s="4" t="str">
        <f>IF('Master Tracker'!N60="","",'Master Tracker'!N60)</f>
        <v/>
      </c>
    </row>
    <row r="15" spans="1:14" ht="22.65" customHeight="1" x14ac:dyDescent="0.45">
      <c r="A15" s="13" t="str">
        <f>IF('Master Tracker'!A61="","",'Master Tracker'!A61)</f>
        <v>☐</v>
      </c>
      <c r="B15" s="14" t="str">
        <f>IF('Master Tracker'!B61="","",'Master Tracker'!B61)</f>
        <v>T-056</v>
      </c>
      <c r="C15" s="4" t="str">
        <f>IF('Master Tracker'!C61="","",'Master Tracker'!C61)</f>
        <v>Fleet</v>
      </c>
      <c r="D15" s="4" t="str">
        <f>IF('Master Tracker'!D61="","",'Master Tracker'!D61)</f>
        <v>Maintenance</v>
      </c>
      <c r="E15" s="15" t="str">
        <f>IF('Master Tracker'!E61="","",'Master Tracker'!E61)</f>
        <v>Capture downtime start/end and replacement requirement</v>
      </c>
      <c r="F15" s="15" t="str">
        <f>IF('Master Tracker'!F61="","",'Master Tracker'!F61)</f>
        <v>Feed utilization and loss analysis</v>
      </c>
      <c r="G15" s="15" t="str">
        <f>IF('Master Tracker'!G61="","",'Master Tracker'!G61)</f>
        <v>All</v>
      </c>
      <c r="H15" s="4" t="str">
        <f>IF('Master Tracker'!H61="","",'Master Tracker'!H61)</f>
        <v>High</v>
      </c>
      <c r="I15" s="15" t="str">
        <f>IF('Master Tracker'!I61="","",'Master Tracker'!I61)</f>
        <v>Phase 2 - Core Operations</v>
      </c>
      <c r="J15" s="4" t="str">
        <f>IF('Master Tracker'!J61="","",'Master Tracker'!J61)</f>
        <v/>
      </c>
      <c r="K15" s="4" t="str">
        <f>IF('Master Tracker'!K61="","",'Master Tracker'!K61)</f>
        <v>Not Started</v>
      </c>
      <c r="L15" s="4" t="str">
        <f>IF('Master Tracker'!L61="","",'Master Tracker'!L61)</f>
        <v/>
      </c>
      <c r="M15" s="18" t="str">
        <f>IF('Master Tracker'!M61="","",'Master Tracker'!M61)</f>
        <v/>
      </c>
      <c r="N15" s="4" t="str">
        <f>IF('Master Tracker'!N61="","",'Master Tracker'!N61)</f>
        <v/>
      </c>
    </row>
    <row r="16" spans="1:14" ht="22.65" customHeight="1" x14ac:dyDescent="0.45">
      <c r="A16" s="13" t="str">
        <f>IF('Master Tracker'!A62="","",'Master Tracker'!A62)</f>
        <v>☐</v>
      </c>
      <c r="B16" s="14" t="str">
        <f>IF('Master Tracker'!B62="","",'Master Tracker'!B62)</f>
        <v>T-057</v>
      </c>
      <c r="C16" s="4" t="str">
        <f>IF('Master Tracker'!C62="","",'Master Tracker'!C62)</f>
        <v>Fleet</v>
      </c>
      <c r="D16" s="4" t="str">
        <f>IF('Master Tracker'!D62="","",'Master Tracker'!D62)</f>
        <v>Compliance</v>
      </c>
      <c r="E16" s="15" t="str">
        <f>IF('Master Tracker'!E62="","",'Master Tracker'!E62)</f>
        <v>Create registration / insurance / inspection expiry tracker</v>
      </c>
      <c r="F16" s="15" t="str">
        <f>IF('Master Tracker'!F62="","",'Master Tracker'!F62)</f>
        <v>Block usage of non-compliant vehicles</v>
      </c>
      <c r="G16" s="15" t="str">
        <f>IF('Master Tracker'!G62="","",'Master Tracker'!G62)</f>
        <v>All</v>
      </c>
      <c r="H16" s="4" t="str">
        <f>IF('Master Tracker'!H62="","",'Master Tracker'!H62)</f>
        <v>Critical</v>
      </c>
      <c r="I16" s="15" t="str">
        <f>IF('Master Tracker'!I62="","",'Master Tracker'!I62)</f>
        <v>Phase 1 - Foundation</v>
      </c>
      <c r="J16" s="4" t="str">
        <f>IF('Master Tracker'!J62="","",'Master Tracker'!J62)</f>
        <v/>
      </c>
      <c r="K16" s="4" t="str">
        <f>IF('Master Tracker'!K62="","",'Master Tracker'!K62)</f>
        <v>Not Started</v>
      </c>
      <c r="L16" s="4" t="str">
        <f>IF('Master Tracker'!L62="","",'Master Tracker'!L62)</f>
        <v/>
      </c>
      <c r="M16" s="18" t="str">
        <f>IF('Master Tracker'!M62="","",'Master Tracker'!M62)</f>
        <v/>
      </c>
      <c r="N16" s="4" t="str">
        <f>IF('Master Tracker'!N62="","",'Master Tracker'!N62)</f>
        <v/>
      </c>
    </row>
    <row r="17" spans="1:14" ht="22.65" customHeight="1" x14ac:dyDescent="0.45">
      <c r="A17" s="13" t="str">
        <f>IF('Master Tracker'!A63="","",'Master Tracker'!A63)</f>
        <v>☐</v>
      </c>
      <c r="B17" s="14" t="str">
        <f>IF('Master Tracker'!B63="","",'Master Tracker'!B63)</f>
        <v>T-058</v>
      </c>
      <c r="C17" s="4" t="str">
        <f>IF('Master Tracker'!C63="","",'Master Tracker'!C63)</f>
        <v>Fleet</v>
      </c>
      <c r="D17" s="4" t="str">
        <f>IF('Master Tracker'!D63="","",'Master Tracker'!D63)</f>
        <v>Compliance</v>
      </c>
      <c r="E17" s="15" t="str">
        <f>IF('Master Tracker'!E63="","",'Master Tracker'!E63)</f>
        <v>Create return-to-supplier workflow for rented vehicles</v>
      </c>
      <c r="F17" s="15" t="str">
        <f>IF('Master Tracker'!F63="","",'Master Tracker'!F63)</f>
        <v>Off-hire, condition check, penalties and closure</v>
      </c>
      <c r="G17" s="15" t="str">
        <f>IF('Master Tracker'!G63="","",'Master Tracker'!G63)</f>
        <v>Rented Only</v>
      </c>
      <c r="H17" s="4" t="str">
        <f>IF('Master Tracker'!H63="","",'Master Tracker'!H63)</f>
        <v>Medium</v>
      </c>
      <c r="I17" s="15" t="str">
        <f>IF('Master Tracker'!I63="","",'Master Tracker'!I63)</f>
        <v>Phase 3 - Finance &amp; Control</v>
      </c>
      <c r="J17" s="4" t="str">
        <f>IF('Master Tracker'!J63="","",'Master Tracker'!J63)</f>
        <v/>
      </c>
      <c r="K17" s="4" t="str">
        <f>IF('Master Tracker'!K63="","",'Master Tracker'!K63)</f>
        <v>Not Started</v>
      </c>
      <c r="L17" s="4" t="str">
        <f>IF('Master Tracker'!L63="","",'Master Tracker'!L63)</f>
        <v/>
      </c>
      <c r="M17" s="18" t="str">
        <f>IF('Master Tracker'!M63="","",'Master Tracker'!M63)</f>
        <v/>
      </c>
      <c r="N17" s="4" t="str">
        <f>IF('Master Tracker'!N63="","",'Master Tracker'!N63)</f>
        <v/>
      </c>
    </row>
    <row r="18" spans="1:14" ht="22.65" customHeight="1" x14ac:dyDescent="0.45">
      <c r="A18" s="13" t="str">
        <f>IF('Master Tracker'!A64="","",'Master Tracker'!A64)</f>
        <v>☐</v>
      </c>
      <c r="B18" s="14" t="str">
        <f>IF('Master Tracker'!B64="","",'Master Tracker'!B64)</f>
        <v>T-059</v>
      </c>
      <c r="C18" s="4" t="str">
        <f>IF('Master Tracker'!C64="","",'Master Tracker'!C64)</f>
        <v>Fleet</v>
      </c>
      <c r="D18" s="4" t="str">
        <f>IF('Master Tracker'!D64="","",'Master Tracker'!D64)</f>
        <v>Lifecycle</v>
      </c>
      <c r="E18" s="15" t="str">
        <f>IF('Master Tracker'!E64="","",'Master Tracker'!E64)</f>
        <v>Define owned fleet lifecycle and replacement planning</v>
      </c>
      <c r="F18" s="15" t="str">
        <f>IF('Master Tracker'!F64="","",'Master Tracker'!F64)</f>
        <v>Age, condition, utilization and disposal triggers</v>
      </c>
      <c r="G18" s="15" t="str">
        <f>IF('Master Tracker'!G64="","",'Master Tracker'!G64)</f>
        <v>Owned Only</v>
      </c>
      <c r="H18" s="4" t="str">
        <f>IF('Master Tracker'!H64="","",'Master Tracker'!H64)</f>
        <v>High</v>
      </c>
      <c r="I18" s="15" t="str">
        <f>IF('Master Tracker'!I64="","",'Master Tracker'!I64)</f>
        <v>Phase 4 - Integrations &amp; BI</v>
      </c>
      <c r="J18" s="4" t="str">
        <f>IF('Master Tracker'!J64="","",'Master Tracker'!J64)</f>
        <v/>
      </c>
      <c r="K18" s="4" t="str">
        <f>IF('Master Tracker'!K64="","",'Master Tracker'!K64)</f>
        <v>Not Started</v>
      </c>
      <c r="L18" s="4" t="str">
        <f>IF('Master Tracker'!L64="","",'Master Tracker'!L64)</f>
        <v/>
      </c>
      <c r="M18" s="18" t="str">
        <f>IF('Master Tracker'!M64="","",'Master Tracker'!M64)</f>
        <v/>
      </c>
      <c r="N18" s="4" t="str">
        <f>IF('Master Tracker'!N64="","",'Master Tracker'!N64)</f>
        <v/>
      </c>
    </row>
    <row r="19" spans="1:14" ht="22.65" customHeight="1" x14ac:dyDescent="0.45">
      <c r="A19" s="13" t="str">
        <f>IF('Master Tracker'!A65="","",'Master Tracker'!A65)</f>
        <v>☐</v>
      </c>
      <c r="B19" s="14" t="str">
        <f>IF('Master Tracker'!B65="","",'Master Tracker'!B65)</f>
        <v>T-060</v>
      </c>
      <c r="C19" s="4" t="str">
        <f>IF('Master Tracker'!C65="","",'Master Tracker'!C65)</f>
        <v>Fleet</v>
      </c>
      <c r="D19" s="4" t="str">
        <f>IF('Master Tracker'!D65="","",'Master Tracker'!D65)</f>
        <v>Inventory</v>
      </c>
      <c r="E19" s="15" t="str">
        <f>IF('Master Tracker'!E65="","",'Master Tracker'!E65)</f>
        <v>Create spare pool / standby fleet logic</v>
      </c>
      <c r="F19" s="15" t="str">
        <f>IF('Master Tracker'!F65="","",'Master Tracker'!F65)</f>
        <v>Which vehicles are reserved as backup and when they can be deployed</v>
      </c>
      <c r="G19" s="15" t="str">
        <f>IF('Master Tracker'!G65="","",'Master Tracker'!G65)</f>
        <v>Owned + Rented</v>
      </c>
      <c r="H19" s="4" t="str">
        <f>IF('Master Tracker'!H65="","",'Master Tracker'!H65)</f>
        <v>Medium</v>
      </c>
      <c r="I19" s="15" t="str">
        <f>IF('Master Tracker'!I65="","",'Master Tracker'!I65)</f>
        <v>Phase 3 - Finance &amp; Control</v>
      </c>
      <c r="J19" s="4" t="str">
        <f>IF('Master Tracker'!J65="","",'Master Tracker'!J65)</f>
        <v/>
      </c>
      <c r="K19" s="4" t="str">
        <f>IF('Master Tracker'!K65="","",'Master Tracker'!K65)</f>
        <v>Not Started</v>
      </c>
      <c r="L19" s="4" t="str">
        <f>IF('Master Tracker'!L65="","",'Master Tracker'!L65)</f>
        <v/>
      </c>
      <c r="M19" s="18" t="str">
        <f>IF('Master Tracker'!M65="","",'Master Tracker'!M65)</f>
        <v/>
      </c>
      <c r="N19" s="4" t="str">
        <f>IF('Master Tracker'!N65="","",'Master Tracker'!N65)</f>
        <v/>
      </c>
    </row>
    <row r="20" spans="1:14" ht="22.65" customHeight="1" x14ac:dyDescent="0.45">
      <c r="A20" s="13" t="str">
        <f>IF('Master Tracker'!A66="","",'Master Tracker'!A66)</f>
        <v>☐</v>
      </c>
      <c r="B20" s="14" t="str">
        <f>IF('Master Tracker'!B66="","",'Master Tracker'!B66)</f>
        <v>T-061</v>
      </c>
      <c r="C20" s="4" t="str">
        <f>IF('Master Tracker'!C66="","",'Master Tracker'!C66)</f>
        <v>Fleet</v>
      </c>
      <c r="D20" s="4" t="str">
        <f>IF('Master Tracker'!D66="","",'Master Tracker'!D66)</f>
        <v>Dashboard</v>
      </c>
      <c r="E20" s="15" t="str">
        <f>IF('Master Tracker'!E66="","",'Master Tracker'!E66)</f>
        <v>Define fleet dashboard metrics</v>
      </c>
      <c r="F20" s="15" t="str">
        <f>IF('Master Tracker'!F66="","",'Master Tracker'!F66)</f>
        <v>Utilization, downtime, aging, maintenance due and off-road count</v>
      </c>
      <c r="G20" s="15" t="str">
        <f>IF('Master Tracker'!G66="","",'Master Tracker'!G66)</f>
        <v>All</v>
      </c>
      <c r="H20" s="4" t="str">
        <f>IF('Master Tracker'!H66="","",'Master Tracker'!H66)</f>
        <v>Medium</v>
      </c>
      <c r="I20" s="15" t="str">
        <f>IF('Master Tracker'!I66="","",'Master Tracker'!I66)</f>
        <v>Phase 4 - Integrations &amp; BI</v>
      </c>
      <c r="J20" s="4" t="str">
        <f>IF('Master Tracker'!J66="","",'Master Tracker'!J66)</f>
        <v/>
      </c>
      <c r="K20" s="4" t="str">
        <f>IF('Master Tracker'!K66="","",'Master Tracker'!K66)</f>
        <v>Not Started</v>
      </c>
      <c r="L20" s="4" t="str">
        <f>IF('Master Tracker'!L66="","",'Master Tracker'!L66)</f>
        <v/>
      </c>
      <c r="M20" s="18" t="str">
        <f>IF('Master Tracker'!M66="","",'Master Tracker'!M66)</f>
        <v/>
      </c>
      <c r="N20" s="4" t="str">
        <f>IF('Master Tracker'!N66="","",'Master Tracker'!N66)</f>
        <v/>
      </c>
    </row>
  </sheetData>
  <mergeCells count="2">
    <mergeCell ref="A2:N3"/>
    <mergeCell ref="A1:N1"/>
  </mergeCells>
  <conditionalFormatting sqref="H6:H20">
    <cfRule type="expression" dxfId="37" priority="5">
      <formula>$H6="Critical"</formula>
    </cfRule>
    <cfRule type="expression" dxfId="36" priority="6">
      <formula>$H6="High"</formula>
    </cfRule>
    <cfRule type="expression" dxfId="35" priority="7">
      <formula>$H6="Low"</formula>
    </cfRule>
  </conditionalFormatting>
  <conditionalFormatting sqref="K6:K20">
    <cfRule type="expression" dxfId="34" priority="1">
      <formula>$K6="Done"</formula>
    </cfRule>
    <cfRule type="expression" dxfId="33" priority="2">
      <formula>$K6="In Progress"</formula>
    </cfRule>
    <cfRule type="expression" dxfId="32" priority="3">
      <formula>$K6="Blocked"</formula>
    </cfRule>
    <cfRule type="expression" dxfId="31" priority="4">
      <formula>$K6="Not Started"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"/>
  <sheetViews>
    <sheetView tabSelected="1" workbookViewId="0">
      <selection sqref="A1:N1"/>
    </sheetView>
  </sheetViews>
  <sheetFormatPr defaultRowHeight="14.5" x14ac:dyDescent="0.35"/>
  <cols>
    <col min="1" max="2" width="11" customWidth="1"/>
    <col min="3" max="3" width="18" customWidth="1"/>
    <col min="4" max="4" width="20" customWidth="1"/>
    <col min="5" max="5" width="36" customWidth="1"/>
    <col min="6" max="6" width="44" customWidth="1"/>
    <col min="7" max="7" width="24" customWidth="1"/>
    <col min="8" max="8" width="11" customWidth="1"/>
    <col min="9" max="9" width="26" customWidth="1"/>
    <col min="10" max="10" width="15" customWidth="1"/>
    <col min="11" max="11" width="14" customWidth="1"/>
    <col min="12" max="12" width="16" customWidth="1"/>
    <col min="13" max="13" width="13" customWidth="1"/>
    <col min="14" max="14" width="24" customWidth="1"/>
  </cols>
  <sheetData>
    <row r="1" spans="1:14" ht="16" customHeight="1" x14ac:dyDescent="0.35">
      <c r="A1" s="27" t="s">
        <v>445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65" customHeight="1" x14ac:dyDescent="0.35">
      <c r="A2" s="26" t="s">
        <v>446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ht="17.399999999999999" customHeight="1" x14ac:dyDescent="0.35">
      <c r="A5" s="3" t="s">
        <v>45</v>
      </c>
      <c r="B5" s="3" t="s">
        <v>46</v>
      </c>
      <c r="C5" s="3" t="s">
        <v>32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ht="22.65" customHeight="1" x14ac:dyDescent="0.45">
      <c r="A6" s="13" t="str">
        <f>IF('Master Tracker'!A67="","",'Master Tracker'!A67)</f>
        <v>☐</v>
      </c>
      <c r="B6" s="14" t="str">
        <f>IF('Master Tracker'!B67="","",'Master Tracker'!B67)</f>
        <v>T-062</v>
      </c>
      <c r="C6" s="4" t="str">
        <f>IF('Master Tracker'!C67="","",'Master Tracker'!C67)</f>
        <v>Finance</v>
      </c>
      <c r="D6" s="4" t="str">
        <f>IF('Master Tracker'!D67="","",'Master Tracker'!D67)</f>
        <v>Commercial Model</v>
      </c>
      <c r="E6" s="15" t="str">
        <f>IF('Master Tracker'!E67="","",'Master Tracker'!E67)</f>
        <v>Map revenue models by aggregator and contract</v>
      </c>
      <c r="F6" s="15" t="str">
        <f>IF('Master Tracker'!F67="","",'Master Tracker'!F67)</f>
        <v>Per order, hybrid, incentives, penalties and billing cycle</v>
      </c>
      <c r="G6" s="15" t="str">
        <f>IF('Master Tracker'!G67="","",'Master Tracker'!G67)</f>
        <v>All</v>
      </c>
      <c r="H6" s="4" t="str">
        <f>IF('Master Tracker'!H67="","",'Master Tracker'!H67)</f>
        <v>Critical</v>
      </c>
      <c r="I6" s="15" t="str">
        <f>IF('Master Tracker'!I67="","",'Master Tracker'!I67)</f>
        <v>Phase 2 - Core Operations</v>
      </c>
      <c r="J6" s="4" t="str">
        <f>IF('Master Tracker'!J67="","",'Master Tracker'!J67)</f>
        <v/>
      </c>
      <c r="K6" s="4" t="str">
        <f>IF('Master Tracker'!K67="","",'Master Tracker'!K67)</f>
        <v>Not Started</v>
      </c>
      <c r="L6" s="4" t="str">
        <f>IF('Master Tracker'!L67="","",'Master Tracker'!L67)</f>
        <v/>
      </c>
      <c r="M6" s="18" t="str">
        <f>IF('Master Tracker'!M67="","",'Master Tracker'!M67)</f>
        <v/>
      </c>
      <c r="N6" s="4" t="str">
        <f>IF('Master Tracker'!N67="","",'Master Tracker'!N67)</f>
        <v/>
      </c>
    </row>
    <row r="7" spans="1:14" ht="22.65" customHeight="1" x14ac:dyDescent="0.45">
      <c r="A7" s="13" t="str">
        <f>IF('Master Tracker'!A68="","",'Master Tracker'!A68)</f>
        <v>☐</v>
      </c>
      <c r="B7" s="14" t="str">
        <f>IF('Master Tracker'!B68="","",'Master Tracker'!B68)</f>
        <v>T-063</v>
      </c>
      <c r="C7" s="4" t="str">
        <f>IF('Master Tracker'!C68="","",'Master Tracker'!C68)</f>
        <v>Finance</v>
      </c>
      <c r="D7" s="4" t="str">
        <f>IF('Master Tracker'!D68="","",'Master Tracker'!D68)</f>
        <v>Commercial Model</v>
      </c>
      <c r="E7" s="15" t="str">
        <f>IF('Master Tracker'!E68="","",'Master Tracker'!E68)</f>
        <v>Design client / aggregator billing rules</v>
      </c>
      <c r="F7" s="15" t="str">
        <f>IF('Master Tracker'!F68="","",'Master Tracker'!F68)</f>
        <v>Who gets billed, at what rate and under what reconciliation logic</v>
      </c>
      <c r="G7" s="15" t="str">
        <f>IF('Master Tracker'!G68="","",'Master Tracker'!G68)</f>
        <v>All</v>
      </c>
      <c r="H7" s="4" t="str">
        <f>IF('Master Tracker'!H68="","",'Master Tracker'!H68)</f>
        <v>Critical</v>
      </c>
      <c r="I7" s="15" t="str">
        <f>IF('Master Tracker'!I68="","",'Master Tracker'!I68)</f>
        <v>Phase 3 - Finance &amp; Control</v>
      </c>
      <c r="J7" s="4" t="str">
        <f>IF('Master Tracker'!J68="","",'Master Tracker'!J68)</f>
        <v/>
      </c>
      <c r="K7" s="4" t="str">
        <f>IF('Master Tracker'!K68="","",'Master Tracker'!K68)</f>
        <v>Not Started</v>
      </c>
      <c r="L7" s="4" t="str">
        <f>IF('Master Tracker'!L68="","",'Master Tracker'!L68)</f>
        <v/>
      </c>
      <c r="M7" s="18" t="str">
        <f>IF('Master Tracker'!M68="","",'Master Tracker'!M68)</f>
        <v/>
      </c>
      <c r="N7" s="4" t="str">
        <f>IF('Master Tracker'!N68="","",'Master Tracker'!N68)</f>
        <v/>
      </c>
    </row>
    <row r="8" spans="1:14" ht="22.65" customHeight="1" x14ac:dyDescent="0.45">
      <c r="A8" s="13" t="str">
        <f>IF('Master Tracker'!A69="","",'Master Tracker'!A69)</f>
        <v>☐</v>
      </c>
      <c r="B8" s="14" t="str">
        <f>IF('Master Tracker'!B69="","",'Master Tracker'!B69)</f>
        <v>T-064</v>
      </c>
      <c r="C8" s="4" t="str">
        <f>IF('Master Tracker'!C69="","",'Master Tracker'!C69)</f>
        <v>Finance</v>
      </c>
      <c r="D8" s="4" t="str">
        <f>IF('Master Tracker'!D69="","",'Master Tracker'!D69)</f>
        <v>Cost Model</v>
      </c>
      <c r="E8" s="15" t="str">
        <f>IF('Master Tracker'!E69="","",'Master Tracker'!E69)</f>
        <v>Build rented vehicle monthly cost model</v>
      </c>
      <c r="F8" s="15" t="str">
        <f>IF('Master Tracker'!F69="","",'Master Tracker'!F69)</f>
        <v>Rent, deposit, insurance share, uncovered repairs and downtime cost</v>
      </c>
      <c r="G8" s="15" t="str">
        <f>IF('Master Tracker'!G69="","",'Master Tracker'!G69)</f>
        <v>Rented Only</v>
      </c>
      <c r="H8" s="4" t="str">
        <f>IF('Master Tracker'!H69="","",'Master Tracker'!H69)</f>
        <v>Critical</v>
      </c>
      <c r="I8" s="15" t="str">
        <f>IF('Master Tracker'!I69="","",'Master Tracker'!I69)</f>
        <v>Phase 3 - Finance &amp; Control</v>
      </c>
      <c r="J8" s="4" t="str">
        <f>IF('Master Tracker'!J69="","",'Master Tracker'!J69)</f>
        <v/>
      </c>
      <c r="K8" s="4" t="str">
        <f>IF('Master Tracker'!K69="","",'Master Tracker'!K69)</f>
        <v>Not Started</v>
      </c>
      <c r="L8" s="4" t="str">
        <f>IF('Master Tracker'!L69="","",'Master Tracker'!L69)</f>
        <v/>
      </c>
      <c r="M8" s="18" t="str">
        <f>IF('Master Tracker'!M69="","",'Master Tracker'!M69)</f>
        <v/>
      </c>
      <c r="N8" s="4" t="str">
        <f>IF('Master Tracker'!N69="","",'Master Tracker'!N69)</f>
        <v/>
      </c>
    </row>
    <row r="9" spans="1:14" ht="22.65" customHeight="1" x14ac:dyDescent="0.45">
      <c r="A9" s="13" t="str">
        <f>IF('Master Tracker'!A70="","",'Master Tracker'!A70)</f>
        <v>☐</v>
      </c>
      <c r="B9" s="14" t="str">
        <f>IF('Master Tracker'!B70="","",'Master Tracker'!B70)</f>
        <v>T-065</v>
      </c>
      <c r="C9" s="4" t="str">
        <f>IF('Master Tracker'!C70="","",'Master Tracker'!C70)</f>
        <v>Finance</v>
      </c>
      <c r="D9" s="4" t="str">
        <f>IF('Master Tracker'!D70="","",'Master Tracker'!D70)</f>
        <v>Cost Model</v>
      </c>
      <c r="E9" s="15" t="str">
        <f>IF('Master Tracker'!E70="","",'Master Tracker'!E70)</f>
        <v>Build owned vehicle monthly cost model</v>
      </c>
      <c r="F9" s="15" t="str">
        <f>IF('Master Tracker'!F70="","",'Master Tracker'!F70)</f>
        <v>Depreciation, insurance, registration, maintenance and downtime</v>
      </c>
      <c r="G9" s="15" t="str">
        <f>IF('Master Tracker'!G70="","",'Master Tracker'!G70)</f>
        <v>Owned Only</v>
      </c>
      <c r="H9" s="4" t="str">
        <f>IF('Master Tracker'!H70="","",'Master Tracker'!H70)</f>
        <v>Critical</v>
      </c>
      <c r="I9" s="15" t="str">
        <f>IF('Master Tracker'!I70="","",'Master Tracker'!I70)</f>
        <v>Phase 3 - Finance &amp; Control</v>
      </c>
      <c r="J9" s="4" t="str">
        <f>IF('Master Tracker'!J70="","",'Master Tracker'!J70)</f>
        <v/>
      </c>
      <c r="K9" s="4" t="str">
        <f>IF('Master Tracker'!K70="","",'Master Tracker'!K70)</f>
        <v>Not Started</v>
      </c>
      <c r="L9" s="4" t="str">
        <f>IF('Master Tracker'!L70="","",'Master Tracker'!L70)</f>
        <v/>
      </c>
      <c r="M9" s="18" t="str">
        <f>IF('Master Tracker'!M70="","",'Master Tracker'!M70)</f>
        <v/>
      </c>
      <c r="N9" s="4" t="str">
        <f>IF('Master Tracker'!N70="","",'Master Tracker'!N70)</f>
        <v/>
      </c>
    </row>
    <row r="10" spans="1:14" ht="22.65" customHeight="1" x14ac:dyDescent="0.45">
      <c r="A10" s="13" t="str">
        <f>IF('Master Tracker'!A71="","",'Master Tracker'!A71)</f>
        <v>☐</v>
      </c>
      <c r="B10" s="14" t="str">
        <f>IF('Master Tracker'!B71="","",'Master Tracker'!B71)</f>
        <v>T-066</v>
      </c>
      <c r="C10" s="4" t="str">
        <f>IF('Master Tracker'!C71="","",'Master Tracker'!C71)</f>
        <v>Finance</v>
      </c>
      <c r="D10" s="4" t="str">
        <f>IF('Master Tracker'!D71="","",'Master Tracker'!D71)</f>
        <v>Cost Model</v>
      </c>
      <c r="E10" s="15" t="str">
        <f>IF('Master Tracker'!E71="","",'Master Tracker'!E71)</f>
        <v>Build rider-owned company cost model</v>
      </c>
      <c r="F10" s="15" t="str">
        <f>IF('Master Tracker'!F71="","",'Master Tracker'!F71)</f>
        <v>Allowance, subsidy, compliance admin and support cost</v>
      </c>
      <c r="G10" s="15" t="str">
        <f>IF('Master Tracker'!G71="","",'Master Tracker'!G71)</f>
        <v>Rider-Owned Only</v>
      </c>
      <c r="H10" s="4" t="str">
        <f>IF('Master Tracker'!H71="","",'Master Tracker'!H71)</f>
        <v>High</v>
      </c>
      <c r="I10" s="15" t="str">
        <f>IF('Master Tracker'!I71="","",'Master Tracker'!I71)</f>
        <v>Phase 3 - Finance &amp; Control</v>
      </c>
      <c r="J10" s="4" t="str">
        <f>IF('Master Tracker'!J71="","",'Master Tracker'!J71)</f>
        <v/>
      </c>
      <c r="K10" s="4" t="str">
        <f>IF('Master Tracker'!K71="","",'Master Tracker'!K71)</f>
        <v>Not Started</v>
      </c>
      <c r="L10" s="4" t="str">
        <f>IF('Master Tracker'!L71="","",'Master Tracker'!L71)</f>
        <v/>
      </c>
      <c r="M10" s="18" t="str">
        <f>IF('Master Tracker'!M71="","",'Master Tracker'!M71)</f>
        <v/>
      </c>
      <c r="N10" s="4" t="str">
        <f>IF('Master Tracker'!N71="","",'Master Tracker'!N71)</f>
        <v/>
      </c>
    </row>
    <row r="11" spans="1:14" ht="22.65" customHeight="1" x14ac:dyDescent="0.45">
      <c r="A11" s="13" t="str">
        <f>IF('Master Tracker'!A72="","",'Master Tracker'!A72)</f>
        <v>☐</v>
      </c>
      <c r="B11" s="14" t="str">
        <f>IF('Master Tracker'!B72="","",'Master Tracker'!B72)</f>
        <v>T-067</v>
      </c>
      <c r="C11" s="4" t="str">
        <f>IF('Master Tracker'!C72="","",'Master Tracker'!C72)</f>
        <v>Finance</v>
      </c>
      <c r="D11" s="4" t="str">
        <f>IF('Master Tracker'!D72="","",'Master Tracker'!D72)</f>
        <v>Payroll</v>
      </c>
      <c r="E11" s="15" t="str">
        <f>IF('Master Tracker'!E72="","",'Master Tracker'!E72)</f>
        <v>Design payroll engine formula library</v>
      </c>
      <c r="F11" s="15" t="str">
        <f>IF('Master Tracker'!F72="","",'Master Tracker'!F72)</f>
        <v>Fixed pay, per-order pay, km pay, incentive, deduction and advance recovery</v>
      </c>
      <c r="G11" s="15" t="str">
        <f>IF('Master Tracker'!G72="","",'Master Tracker'!G72)</f>
        <v>All (varies by source type)</v>
      </c>
      <c r="H11" s="4" t="str">
        <f>IF('Master Tracker'!H72="","",'Master Tracker'!H72)</f>
        <v>Critical</v>
      </c>
      <c r="I11" s="15" t="str">
        <f>IF('Master Tracker'!I72="","",'Master Tracker'!I72)</f>
        <v>Phase 3 - Finance &amp; Control</v>
      </c>
      <c r="J11" s="4" t="str">
        <f>IF('Master Tracker'!J72="","",'Master Tracker'!J72)</f>
        <v/>
      </c>
      <c r="K11" s="4" t="str">
        <f>IF('Master Tracker'!K72="","",'Master Tracker'!K72)</f>
        <v>Not Started</v>
      </c>
      <c r="L11" s="4" t="str">
        <f>IF('Master Tracker'!L72="","",'Master Tracker'!L72)</f>
        <v/>
      </c>
      <c r="M11" s="18" t="str">
        <f>IF('Master Tracker'!M72="","",'Master Tracker'!M72)</f>
        <v/>
      </c>
      <c r="N11" s="4" t="str">
        <f>IF('Master Tracker'!N72="","",'Master Tracker'!N72)</f>
        <v/>
      </c>
    </row>
    <row r="12" spans="1:14" ht="22.65" customHeight="1" x14ac:dyDescent="0.45">
      <c r="A12" s="13" t="str">
        <f>IF('Master Tracker'!A73="","",'Master Tracker'!A73)</f>
        <v>☐</v>
      </c>
      <c r="B12" s="14" t="str">
        <f>IF('Master Tracker'!B73="","",'Master Tracker'!B73)</f>
        <v>T-068</v>
      </c>
      <c r="C12" s="4" t="str">
        <f>IF('Master Tracker'!C73="","",'Master Tracker'!C73)</f>
        <v>Finance</v>
      </c>
      <c r="D12" s="4" t="str">
        <f>IF('Master Tracker'!D73="","",'Master Tracker'!D73)</f>
        <v>Payroll</v>
      </c>
      <c r="E12" s="15" t="str">
        <f>IF('Master Tracker'!E73="","",'Master Tracker'!E73)</f>
        <v>Map vehicle-related deductions and allowances</v>
      </c>
      <c r="F12" s="15" t="str">
        <f>IF('Master Tracker'!F73="","",'Master Tracker'!F73)</f>
        <v>Different payroll treatment by vehicle source type</v>
      </c>
      <c r="G12" s="15" t="str">
        <f>IF('Master Tracker'!G73="","",'Master Tracker'!G73)</f>
        <v>All (varies by source type)</v>
      </c>
      <c r="H12" s="4" t="str">
        <f>IF('Master Tracker'!H73="","",'Master Tracker'!H73)</f>
        <v>Critical</v>
      </c>
      <c r="I12" s="15" t="str">
        <f>IF('Master Tracker'!I73="","",'Master Tracker'!I73)</f>
        <v>Phase 3 - Finance &amp; Control</v>
      </c>
      <c r="J12" s="4" t="str">
        <f>IF('Master Tracker'!J73="","",'Master Tracker'!J73)</f>
        <v/>
      </c>
      <c r="K12" s="4" t="str">
        <f>IF('Master Tracker'!K73="","",'Master Tracker'!K73)</f>
        <v>Not Started</v>
      </c>
      <c r="L12" s="4" t="str">
        <f>IF('Master Tracker'!L73="","",'Master Tracker'!L73)</f>
        <v/>
      </c>
      <c r="M12" s="18" t="str">
        <f>IF('Master Tracker'!M73="","",'Master Tracker'!M73)</f>
        <v/>
      </c>
      <c r="N12" s="4" t="str">
        <f>IF('Master Tracker'!N73="","",'Master Tracker'!N73)</f>
        <v/>
      </c>
    </row>
    <row r="13" spans="1:14" ht="22.65" customHeight="1" x14ac:dyDescent="0.45">
      <c r="A13" s="13" t="str">
        <f>IF('Master Tracker'!A74="","",'Master Tracker'!A74)</f>
        <v>☐</v>
      </c>
      <c r="B13" s="14" t="str">
        <f>IF('Master Tracker'!B74="","",'Master Tracker'!B74)</f>
        <v>T-069</v>
      </c>
      <c r="C13" s="4" t="str">
        <f>IF('Master Tracker'!C74="","",'Master Tracker'!C74)</f>
        <v>Finance</v>
      </c>
      <c r="D13" s="4" t="str">
        <f>IF('Master Tracker'!D74="","",'Master Tracker'!D74)</f>
        <v>Payables</v>
      </c>
      <c r="E13" s="15" t="str">
        <f>IF('Master Tracker'!E74="","",'Master Tracker'!E74)</f>
        <v>Build supplier rental payable workflow</v>
      </c>
      <c r="F13" s="15" t="str">
        <f>IF('Master Tracker'!F74="","",'Master Tracker'!F74)</f>
        <v>Rental invoice intake, matching, approval and payment schedule</v>
      </c>
      <c r="G13" s="15" t="str">
        <f>IF('Master Tracker'!G74="","",'Master Tracker'!G74)</f>
        <v>Rented Only</v>
      </c>
      <c r="H13" s="4" t="str">
        <f>IF('Master Tracker'!H74="","",'Master Tracker'!H74)</f>
        <v>High</v>
      </c>
      <c r="I13" s="15" t="str">
        <f>IF('Master Tracker'!I74="","",'Master Tracker'!I74)</f>
        <v>Phase 3 - Finance &amp; Control</v>
      </c>
      <c r="J13" s="4" t="str">
        <f>IF('Master Tracker'!J74="","",'Master Tracker'!J74)</f>
        <v/>
      </c>
      <c r="K13" s="4" t="str">
        <f>IF('Master Tracker'!K74="","",'Master Tracker'!K74)</f>
        <v>Not Started</v>
      </c>
      <c r="L13" s="4" t="str">
        <f>IF('Master Tracker'!L74="","",'Master Tracker'!L74)</f>
        <v/>
      </c>
      <c r="M13" s="18" t="str">
        <f>IF('Master Tracker'!M74="","",'Master Tracker'!M74)</f>
        <v/>
      </c>
      <c r="N13" s="4" t="str">
        <f>IF('Master Tracker'!N74="","",'Master Tracker'!N74)</f>
        <v/>
      </c>
    </row>
    <row r="14" spans="1:14" ht="22.65" customHeight="1" x14ac:dyDescent="0.45">
      <c r="A14" s="13" t="str">
        <f>IF('Master Tracker'!A75="","",'Master Tracker'!A75)</f>
        <v>☐</v>
      </c>
      <c r="B14" s="14" t="str">
        <f>IF('Master Tracker'!B75="","",'Master Tracker'!B75)</f>
        <v>T-070</v>
      </c>
      <c r="C14" s="4" t="str">
        <f>IF('Master Tracker'!C75="","",'Master Tracker'!C75)</f>
        <v>Finance</v>
      </c>
      <c r="D14" s="4" t="str">
        <f>IF('Master Tracker'!D75="","",'Master Tracker'!D75)</f>
        <v>Assets</v>
      </c>
      <c r="E14" s="15" t="str">
        <f>IF('Master Tracker'!E75="","",'Master Tracker'!E75)</f>
        <v>Build depreciation schedule for owned fleet</v>
      </c>
      <c r="F14" s="15" t="str">
        <f>IF('Master Tracker'!F75="","",'Master Tracker'!F75)</f>
        <v>Monthly depreciation and asset book value movement</v>
      </c>
      <c r="G14" s="15" t="str">
        <f>IF('Master Tracker'!G75="","",'Master Tracker'!G75)</f>
        <v>Owned Only</v>
      </c>
      <c r="H14" s="4" t="str">
        <f>IF('Master Tracker'!H75="","",'Master Tracker'!H75)</f>
        <v>High</v>
      </c>
      <c r="I14" s="15" t="str">
        <f>IF('Master Tracker'!I75="","",'Master Tracker'!I75)</f>
        <v>Phase 3 - Finance &amp; Control</v>
      </c>
      <c r="J14" s="4" t="str">
        <f>IF('Master Tracker'!J75="","",'Master Tracker'!J75)</f>
        <v/>
      </c>
      <c r="K14" s="4" t="str">
        <f>IF('Master Tracker'!K75="","",'Master Tracker'!K75)</f>
        <v>Not Started</v>
      </c>
      <c r="L14" s="4" t="str">
        <f>IF('Master Tracker'!L75="","",'Master Tracker'!L75)</f>
        <v/>
      </c>
      <c r="M14" s="18" t="str">
        <f>IF('Master Tracker'!M75="","",'Master Tracker'!M75)</f>
        <v/>
      </c>
      <c r="N14" s="4" t="str">
        <f>IF('Master Tracker'!N75="","",'Master Tracker'!N75)</f>
        <v/>
      </c>
    </row>
    <row r="15" spans="1:14" ht="22.65" customHeight="1" x14ac:dyDescent="0.45">
      <c r="A15" s="13" t="str">
        <f>IF('Master Tracker'!A76="","",'Master Tracker'!A76)</f>
        <v>☐</v>
      </c>
      <c r="B15" s="14" t="str">
        <f>IF('Master Tracker'!B76="","",'Master Tracker'!B76)</f>
        <v>T-071</v>
      </c>
      <c r="C15" s="4" t="str">
        <f>IF('Master Tracker'!C76="","",'Master Tracker'!C76)</f>
        <v>Finance</v>
      </c>
      <c r="D15" s="4" t="str">
        <f>IF('Master Tracker'!D76="","",'Master Tracker'!D76)</f>
        <v>Receivables</v>
      </c>
      <c r="E15" s="15" t="str">
        <f>IF('Master Tracker'!E76="","",'Master Tracker'!E76)</f>
        <v>Build invoicing workflow</v>
      </c>
      <c r="F15" s="15" t="str">
        <f>IF('Master Tracker'!F76="","",'Master Tracker'!F76)</f>
        <v>Billing output by period, client, aggregator and supporting detail</v>
      </c>
      <c r="G15" s="15" t="str">
        <f>IF('Master Tracker'!G76="","",'Master Tracker'!G76)</f>
        <v>All</v>
      </c>
      <c r="H15" s="4" t="str">
        <f>IF('Master Tracker'!H76="","",'Master Tracker'!H76)</f>
        <v>High</v>
      </c>
      <c r="I15" s="15" t="str">
        <f>IF('Master Tracker'!I76="","",'Master Tracker'!I76)</f>
        <v>Phase 3 - Finance &amp; Control</v>
      </c>
      <c r="J15" s="4" t="str">
        <f>IF('Master Tracker'!J76="","",'Master Tracker'!J76)</f>
        <v/>
      </c>
      <c r="K15" s="4" t="str">
        <f>IF('Master Tracker'!K76="","",'Master Tracker'!K76)</f>
        <v>Not Started</v>
      </c>
      <c r="L15" s="4" t="str">
        <f>IF('Master Tracker'!L76="","",'Master Tracker'!L76)</f>
        <v/>
      </c>
      <c r="M15" s="18" t="str">
        <f>IF('Master Tracker'!M76="","",'Master Tracker'!M76)</f>
        <v/>
      </c>
      <c r="N15" s="4" t="str">
        <f>IF('Master Tracker'!N76="","",'Master Tracker'!N76)</f>
        <v/>
      </c>
    </row>
    <row r="16" spans="1:14" ht="22.65" customHeight="1" x14ac:dyDescent="0.45">
      <c r="A16" s="13" t="str">
        <f>IF('Master Tracker'!A77="","",'Master Tracker'!A77)</f>
        <v>☐</v>
      </c>
      <c r="B16" s="14" t="str">
        <f>IF('Master Tracker'!B77="","",'Master Tracker'!B77)</f>
        <v>T-072</v>
      </c>
      <c r="C16" s="4" t="str">
        <f>IF('Master Tracker'!C77="","",'Master Tracker'!C77)</f>
        <v>Finance</v>
      </c>
      <c r="D16" s="4" t="str">
        <f>IF('Master Tracker'!D77="","",'Master Tracker'!D77)</f>
        <v>Receivables</v>
      </c>
      <c r="E16" s="15" t="str">
        <f>IF('Master Tracker'!E77="","",'Master Tracker'!E77)</f>
        <v>Build collections and dispute tracker</v>
      </c>
      <c r="F16" s="15" t="str">
        <f>IF('Master Tracker'!F77="","",'Master Tracker'!F77)</f>
        <v>Invoice aging, rejections and underpayment resolution</v>
      </c>
      <c r="G16" s="15" t="str">
        <f>IF('Master Tracker'!G77="","",'Master Tracker'!G77)</f>
        <v>All</v>
      </c>
      <c r="H16" s="4" t="str">
        <f>IF('Master Tracker'!H77="","",'Master Tracker'!H77)</f>
        <v>Medium</v>
      </c>
      <c r="I16" s="15" t="str">
        <f>IF('Master Tracker'!I77="","",'Master Tracker'!I77)</f>
        <v>Phase 4 - Integrations &amp; BI</v>
      </c>
      <c r="J16" s="4" t="str">
        <f>IF('Master Tracker'!J77="","",'Master Tracker'!J77)</f>
        <v/>
      </c>
      <c r="K16" s="4" t="str">
        <f>IF('Master Tracker'!K77="","",'Master Tracker'!K77)</f>
        <v>Not Started</v>
      </c>
      <c r="L16" s="4" t="str">
        <f>IF('Master Tracker'!L77="","",'Master Tracker'!L77)</f>
        <v/>
      </c>
      <c r="M16" s="18" t="str">
        <f>IF('Master Tracker'!M77="","",'Master Tracker'!M77)</f>
        <v/>
      </c>
      <c r="N16" s="4" t="str">
        <f>IF('Master Tracker'!N77="","",'Master Tracker'!N77)</f>
        <v/>
      </c>
    </row>
    <row r="17" spans="1:14" ht="22.65" customHeight="1" x14ac:dyDescent="0.45">
      <c r="A17" s="13" t="str">
        <f>IF('Master Tracker'!A78="","",'Master Tracker'!A78)</f>
        <v>☐</v>
      </c>
      <c r="B17" s="14" t="str">
        <f>IF('Master Tracker'!B78="","",'Master Tracker'!B78)</f>
        <v>T-073</v>
      </c>
      <c r="C17" s="4" t="str">
        <f>IF('Master Tracker'!C78="","",'Master Tracker'!C78)</f>
        <v>Finance</v>
      </c>
      <c r="D17" s="4" t="str">
        <f>IF('Master Tracker'!D78="","",'Master Tracker'!D78)</f>
        <v>Reporting</v>
      </c>
      <c r="E17" s="15" t="str">
        <f>IF('Master Tracker'!E78="","",'Master Tracker'!E78)</f>
        <v>Define profit by vehicle source type report</v>
      </c>
      <c r="F17" s="15" t="str">
        <f>IF('Master Tracker'!F78="","",'Master Tracker'!F78)</f>
        <v>Owned vs rented vs rider-owned profitability</v>
      </c>
      <c r="G17" s="15" t="str">
        <f>IF('Master Tracker'!G78="","",'Master Tracker'!G78)</f>
        <v>All</v>
      </c>
      <c r="H17" s="4" t="str">
        <f>IF('Master Tracker'!H78="","",'Master Tracker'!H78)</f>
        <v>Critical</v>
      </c>
      <c r="I17" s="15" t="str">
        <f>IF('Master Tracker'!I78="","",'Master Tracker'!I78)</f>
        <v>Phase 4 - Integrations &amp; BI</v>
      </c>
      <c r="J17" s="4" t="str">
        <f>IF('Master Tracker'!J78="","",'Master Tracker'!J78)</f>
        <v/>
      </c>
      <c r="K17" s="4" t="str">
        <f>IF('Master Tracker'!K78="","",'Master Tracker'!K78)</f>
        <v>Not Started</v>
      </c>
      <c r="L17" s="4" t="str">
        <f>IF('Master Tracker'!L78="","",'Master Tracker'!L78)</f>
        <v/>
      </c>
      <c r="M17" s="18" t="str">
        <f>IF('Master Tracker'!M78="","",'Master Tracker'!M78)</f>
        <v/>
      </c>
      <c r="N17" s="4" t="str">
        <f>IF('Master Tracker'!N78="","",'Master Tracker'!N78)</f>
        <v/>
      </c>
    </row>
    <row r="18" spans="1:14" ht="22.65" customHeight="1" x14ac:dyDescent="0.45">
      <c r="A18" s="13" t="str">
        <f>IF('Master Tracker'!A79="","",'Master Tracker'!A79)</f>
        <v>☐</v>
      </c>
      <c r="B18" s="14" t="str">
        <f>IF('Master Tracker'!B79="","",'Master Tracker'!B79)</f>
        <v>T-074</v>
      </c>
      <c r="C18" s="4" t="str">
        <f>IF('Master Tracker'!C79="","",'Master Tracker'!C79)</f>
        <v>Finance</v>
      </c>
      <c r="D18" s="4" t="str">
        <f>IF('Master Tracker'!D79="","",'Master Tracker'!D79)</f>
        <v>Reporting</v>
      </c>
      <c r="E18" s="15" t="str">
        <f>IF('Master Tracker'!E79="","",'Master Tracker'!E79)</f>
        <v>Define profit by aggregator and client report</v>
      </c>
      <c r="F18" s="15" t="str">
        <f>IF('Master Tracker'!F79="","",'Master Tracker'!F79)</f>
        <v>Gross margin and unit economics by contract</v>
      </c>
      <c r="G18" s="15" t="str">
        <f>IF('Master Tracker'!G79="","",'Master Tracker'!G79)</f>
        <v>All</v>
      </c>
      <c r="H18" s="4" t="str">
        <f>IF('Master Tracker'!H79="","",'Master Tracker'!H79)</f>
        <v>High</v>
      </c>
      <c r="I18" s="15" t="str">
        <f>IF('Master Tracker'!I79="","",'Master Tracker'!I79)</f>
        <v>Phase 4 - Integrations &amp; BI</v>
      </c>
      <c r="J18" s="4" t="str">
        <f>IF('Master Tracker'!J79="","",'Master Tracker'!J79)</f>
        <v/>
      </c>
      <c r="K18" s="4" t="str">
        <f>IF('Master Tracker'!K79="","",'Master Tracker'!K79)</f>
        <v>Not Started</v>
      </c>
      <c r="L18" s="4" t="str">
        <f>IF('Master Tracker'!L79="","",'Master Tracker'!L79)</f>
        <v/>
      </c>
      <c r="M18" s="18" t="str">
        <f>IF('Master Tracker'!M79="","",'Master Tracker'!M79)</f>
        <v/>
      </c>
      <c r="N18" s="4" t="str">
        <f>IF('Master Tracker'!N79="","",'Master Tracker'!N79)</f>
        <v/>
      </c>
    </row>
    <row r="19" spans="1:14" ht="22.65" customHeight="1" x14ac:dyDescent="0.45">
      <c r="A19" s="13" t="str">
        <f>IF('Master Tracker'!A80="","",'Master Tracker'!A80)</f>
        <v>☐</v>
      </c>
      <c r="B19" s="14" t="str">
        <f>IF('Master Tracker'!B80="","",'Master Tracker'!B80)</f>
        <v>T-075</v>
      </c>
      <c r="C19" s="4" t="str">
        <f>IF('Master Tracker'!C80="","",'Master Tracker'!C80)</f>
        <v>Finance</v>
      </c>
      <c r="D19" s="4" t="str">
        <f>IF('Master Tracker'!D80="","",'Master Tracker'!D80)</f>
        <v>Controls</v>
      </c>
      <c r="E19" s="15" t="str">
        <f>IF('Master Tracker'!E80="","",'Master Tracker'!E80)</f>
        <v>Design month-end close checklist</v>
      </c>
      <c r="F19" s="15" t="str">
        <f>IF('Master Tracker'!F80="","",'Master Tracker'!F80)</f>
        <v>Reconcile orders, payroll, fleet cost, AP, AR and incidents</v>
      </c>
      <c r="G19" s="15" t="str">
        <f>IF('Master Tracker'!G80="","",'Master Tracker'!G80)</f>
        <v>All</v>
      </c>
      <c r="H19" s="4" t="str">
        <f>IF('Master Tracker'!H80="","",'Master Tracker'!H80)</f>
        <v>Medium</v>
      </c>
      <c r="I19" s="15" t="str">
        <f>IF('Master Tracker'!I80="","",'Master Tracker'!I80)</f>
        <v>Phase 4 - Integrations &amp; BI</v>
      </c>
      <c r="J19" s="4" t="str">
        <f>IF('Master Tracker'!J80="","",'Master Tracker'!J80)</f>
        <v/>
      </c>
      <c r="K19" s="4" t="str">
        <f>IF('Master Tracker'!K80="","",'Master Tracker'!K80)</f>
        <v>Not Started</v>
      </c>
      <c r="L19" s="4" t="str">
        <f>IF('Master Tracker'!L80="","",'Master Tracker'!L80)</f>
        <v/>
      </c>
      <c r="M19" s="18" t="str">
        <f>IF('Master Tracker'!M80="","",'Master Tracker'!M80)</f>
        <v/>
      </c>
      <c r="N19" s="4" t="str">
        <f>IF('Master Tracker'!N80="","",'Master Tracker'!N80)</f>
        <v/>
      </c>
    </row>
    <row r="20" spans="1:14" ht="22.65" customHeight="1" x14ac:dyDescent="0.45">
      <c r="A20" s="13" t="str">
        <f>IF('Master Tracker'!A81="","",'Master Tracker'!A81)</f>
        <v>☐</v>
      </c>
      <c r="B20" s="14" t="str">
        <f>IF('Master Tracker'!B81="","",'Master Tracker'!B81)</f>
        <v>T-076</v>
      </c>
      <c r="C20" s="4" t="str">
        <f>IF('Master Tracker'!C81="","",'Master Tracker'!C81)</f>
        <v>Finance</v>
      </c>
      <c r="D20" s="4" t="str">
        <f>IF('Master Tracker'!D81="","",'Master Tracker'!D81)</f>
        <v>Dashboard</v>
      </c>
      <c r="E20" s="15" t="str">
        <f>IF('Master Tracker'!E81="","",'Master Tracker'!E81)</f>
        <v>Define finance dashboard metrics</v>
      </c>
      <c r="F20" s="15" t="str">
        <f>IF('Master Tracker'!F81="","",'Master Tracker'!F81)</f>
        <v>Revenue, gross margin, cost per delivery, payables and receivables</v>
      </c>
      <c r="G20" s="15" t="str">
        <f>IF('Master Tracker'!G81="","",'Master Tracker'!G81)</f>
        <v>All</v>
      </c>
      <c r="H20" s="4" t="str">
        <f>IF('Master Tracker'!H81="","",'Master Tracker'!H81)</f>
        <v>Medium</v>
      </c>
      <c r="I20" s="15" t="str">
        <f>IF('Master Tracker'!I81="","",'Master Tracker'!I81)</f>
        <v>Phase 4 - Integrations &amp; BI</v>
      </c>
      <c r="J20" s="4" t="str">
        <f>IF('Master Tracker'!J81="","",'Master Tracker'!J81)</f>
        <v/>
      </c>
      <c r="K20" s="4" t="str">
        <f>IF('Master Tracker'!K81="","",'Master Tracker'!K81)</f>
        <v>Not Started</v>
      </c>
      <c r="L20" s="4" t="str">
        <f>IF('Master Tracker'!L81="","",'Master Tracker'!L81)</f>
        <v/>
      </c>
      <c r="M20" s="18" t="str">
        <f>IF('Master Tracker'!M81="","",'Master Tracker'!M81)</f>
        <v/>
      </c>
      <c r="N20" s="4" t="str">
        <f>IF('Master Tracker'!N81="","",'Master Tracker'!N81)</f>
        <v/>
      </c>
    </row>
  </sheetData>
  <mergeCells count="2">
    <mergeCell ref="A2:N3"/>
    <mergeCell ref="A1:N1"/>
  </mergeCells>
  <conditionalFormatting sqref="H6:H20">
    <cfRule type="expression" dxfId="30" priority="5">
      <formula>$H6="Critical"</formula>
    </cfRule>
    <cfRule type="expression" dxfId="29" priority="6">
      <formula>$H6="High"</formula>
    </cfRule>
    <cfRule type="expression" dxfId="28" priority="7">
      <formula>$H6="Low"</formula>
    </cfRule>
  </conditionalFormatting>
  <conditionalFormatting sqref="K6:K20">
    <cfRule type="expression" dxfId="27" priority="1">
      <formula>$K6="Done"</formula>
    </cfRule>
    <cfRule type="expression" dxfId="26" priority="2">
      <formula>$K6="In Progress"</formula>
    </cfRule>
    <cfRule type="expression" dxfId="25" priority="3">
      <formula>$K6="Blocked"</formula>
    </cfRule>
    <cfRule type="expression" dxfId="24" priority="4">
      <formula>$K6="Not Started"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7"/>
  <sheetViews>
    <sheetView workbookViewId="0">
      <selection activeCell="F6" sqref="F6"/>
    </sheetView>
  </sheetViews>
  <sheetFormatPr defaultRowHeight="14.5" x14ac:dyDescent="0.35"/>
  <cols>
    <col min="1" max="2" width="11" customWidth="1"/>
    <col min="3" max="3" width="18" customWidth="1"/>
    <col min="4" max="4" width="20" customWidth="1"/>
    <col min="5" max="5" width="36" customWidth="1"/>
    <col min="6" max="6" width="70.90625" bestFit="1" customWidth="1"/>
    <col min="7" max="7" width="24" customWidth="1"/>
    <col min="8" max="8" width="11" customWidth="1"/>
    <col min="9" max="9" width="26" customWidth="1"/>
    <col min="10" max="10" width="15" customWidth="1"/>
    <col min="11" max="11" width="14" customWidth="1"/>
    <col min="12" max="12" width="16" customWidth="1"/>
    <col min="13" max="13" width="13" customWidth="1"/>
    <col min="14" max="14" width="24" customWidth="1"/>
  </cols>
  <sheetData>
    <row r="1" spans="1:14" ht="16" customHeight="1" x14ac:dyDescent="0.35">
      <c r="A1" s="27" t="s">
        <v>447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65" customHeight="1" x14ac:dyDescent="0.35">
      <c r="A2" s="26" t="s">
        <v>448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ht="17.399999999999999" customHeight="1" x14ac:dyDescent="0.35">
      <c r="A5" s="3" t="s">
        <v>45</v>
      </c>
      <c r="B5" s="3" t="s">
        <v>46</v>
      </c>
      <c r="C5" s="3" t="s">
        <v>32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ht="22.65" customHeight="1" x14ac:dyDescent="0.45">
      <c r="A6" s="13" t="str">
        <f>IF('Master Tracker'!A82="","",'Master Tracker'!A82)</f>
        <v>☐</v>
      </c>
      <c r="B6" s="14" t="str">
        <f>IF('Master Tracker'!B82="","",'Master Tracker'!B82)</f>
        <v>T-077</v>
      </c>
      <c r="C6" s="4" t="str">
        <f>IF('Master Tracker'!C82="","",'Master Tracker'!C82)</f>
        <v>Compliance</v>
      </c>
      <c r="D6" s="4" t="str">
        <f>IF('Master Tracker'!D82="","",'Master Tracker'!D82)</f>
        <v>Policy Matrix</v>
      </c>
      <c r="E6" s="15" t="str">
        <f>IF('Master Tracker'!E82="","",'Master Tracker'!E82)</f>
        <v>Create legal and compliance document matrix</v>
      </c>
      <c r="F6" s="15" t="str">
        <f>IF('Master Tracker'!F82="","",'Master Tracker'!F82)</f>
        <v>List mandatory rider and vehicle documents by country / client / aggregator</v>
      </c>
      <c r="G6" s="15" t="str">
        <f>IF('Master Tracker'!G82="","",'Master Tracker'!G82)</f>
        <v>All</v>
      </c>
      <c r="H6" s="4" t="str">
        <f>IF('Master Tracker'!H82="","",'Master Tracker'!H82)</f>
        <v>Critical</v>
      </c>
      <c r="I6" s="15" t="str">
        <f>IF('Master Tracker'!I82="","",'Master Tracker'!I82)</f>
        <v>Phase 1 - Foundation</v>
      </c>
      <c r="J6" s="4" t="str">
        <f>IF('Master Tracker'!J82="","",'Master Tracker'!J82)</f>
        <v/>
      </c>
      <c r="K6" s="4" t="str">
        <f>IF('Master Tracker'!K82="","",'Master Tracker'!K82)</f>
        <v>Not Started</v>
      </c>
      <c r="L6" s="4" t="str">
        <f>IF('Master Tracker'!L82="","",'Master Tracker'!L82)</f>
        <v/>
      </c>
      <c r="M6" s="18" t="str">
        <f>IF('Master Tracker'!M82="","",'Master Tracker'!M82)</f>
        <v/>
      </c>
      <c r="N6" s="4" t="str">
        <f>IF('Master Tracker'!N82="","",'Master Tracker'!N82)</f>
        <v/>
      </c>
    </row>
    <row r="7" spans="1:14" ht="22.65" customHeight="1" x14ac:dyDescent="0.45">
      <c r="A7" s="13" t="str">
        <f>IF('Master Tracker'!A83="","",'Master Tracker'!A83)</f>
        <v>☐</v>
      </c>
      <c r="B7" s="14" t="str">
        <f>IF('Master Tracker'!B83="","",'Master Tracker'!B83)</f>
        <v>T-078</v>
      </c>
      <c r="C7" s="4" t="str">
        <f>IF('Master Tracker'!C83="","",'Master Tracker'!C83)</f>
        <v>Compliance</v>
      </c>
      <c r="D7" s="4" t="str">
        <f>IF('Master Tracker'!D83="","",'Master Tracker'!D83)</f>
        <v>Activation Controls</v>
      </c>
      <c r="E7" s="15" t="str">
        <f>IF('Master Tracker'!E83="","",'Master Tracker'!E83)</f>
        <v>Create rider activation block rules</v>
      </c>
      <c r="F7" s="15" t="str">
        <f>IF('Master Tracker'!F83="","",'Master Tracker'!F83)</f>
        <v>Stop activation for expired visa, license or invalid bank / contract status</v>
      </c>
      <c r="G7" s="15" t="str">
        <f>IF('Master Tracker'!G83="","",'Master Tracker'!G83)</f>
        <v>All</v>
      </c>
      <c r="H7" s="4" t="str">
        <f>IF('Master Tracker'!H83="","",'Master Tracker'!H83)</f>
        <v>Critical</v>
      </c>
      <c r="I7" s="15" t="str">
        <f>IF('Master Tracker'!I83="","",'Master Tracker'!I83)</f>
        <v>Phase 1 - Foundation</v>
      </c>
      <c r="J7" s="4" t="str">
        <f>IF('Master Tracker'!J83="","",'Master Tracker'!J83)</f>
        <v/>
      </c>
      <c r="K7" s="4" t="str">
        <f>IF('Master Tracker'!K83="","",'Master Tracker'!K83)</f>
        <v>Not Started</v>
      </c>
      <c r="L7" s="4" t="str">
        <f>IF('Master Tracker'!L83="","",'Master Tracker'!L83)</f>
        <v/>
      </c>
      <c r="M7" s="18" t="str">
        <f>IF('Master Tracker'!M83="","",'Master Tracker'!M83)</f>
        <v/>
      </c>
      <c r="N7" s="4" t="str">
        <f>IF('Master Tracker'!N83="","",'Master Tracker'!N83)</f>
        <v/>
      </c>
    </row>
    <row r="8" spans="1:14" ht="22.65" customHeight="1" x14ac:dyDescent="0.45">
      <c r="A8" s="13" t="str">
        <f>IF('Master Tracker'!A84="","",'Master Tracker'!A84)</f>
        <v>☐</v>
      </c>
      <c r="B8" s="14" t="str">
        <f>IF('Master Tracker'!B84="","",'Master Tracker'!B84)</f>
        <v>T-079</v>
      </c>
      <c r="C8" s="4" t="str">
        <f>IF('Master Tracker'!C84="","",'Master Tracker'!C84)</f>
        <v>Compliance</v>
      </c>
      <c r="D8" s="4" t="str">
        <f>IF('Master Tracker'!D84="","",'Master Tracker'!D84)</f>
        <v>Activation Controls</v>
      </c>
      <c r="E8" s="15" t="str">
        <f>IF('Master Tracker'!E84="","",'Master Tracker'!E84)</f>
        <v>Create vehicle activation block rules</v>
      </c>
      <c r="F8" s="15" t="str">
        <f>IF('Master Tracker'!F84="","",'Master Tracker'!F84)</f>
        <v>Stop use for expired registration, insurance or failed inspection</v>
      </c>
      <c r="G8" s="15" t="str">
        <f>IF('Master Tracker'!G84="","",'Master Tracker'!G84)</f>
        <v>All</v>
      </c>
      <c r="H8" s="4" t="str">
        <f>IF('Master Tracker'!H84="","",'Master Tracker'!H84)</f>
        <v>Critical</v>
      </c>
      <c r="I8" s="15" t="str">
        <f>IF('Master Tracker'!I84="","",'Master Tracker'!I84)</f>
        <v>Phase 1 - Foundation</v>
      </c>
      <c r="J8" s="4" t="str">
        <f>IF('Master Tracker'!J84="","",'Master Tracker'!J84)</f>
        <v/>
      </c>
      <c r="K8" s="4" t="str">
        <f>IF('Master Tracker'!K84="","",'Master Tracker'!K84)</f>
        <v>Not Started</v>
      </c>
      <c r="L8" s="4" t="str">
        <f>IF('Master Tracker'!L84="","",'Master Tracker'!L84)</f>
        <v/>
      </c>
      <c r="M8" s="18" t="str">
        <f>IF('Master Tracker'!M84="","",'Master Tracker'!M84)</f>
        <v/>
      </c>
      <c r="N8" s="4" t="str">
        <f>IF('Master Tracker'!N84="","",'Master Tracker'!N84)</f>
        <v/>
      </c>
    </row>
    <row r="9" spans="1:14" ht="22.65" customHeight="1" x14ac:dyDescent="0.45">
      <c r="A9" s="13" t="str">
        <f>IF('Master Tracker'!A85="","",'Master Tracker'!A85)</f>
        <v>☐</v>
      </c>
      <c r="B9" s="14" t="str">
        <f>IF('Master Tracker'!B85="","",'Master Tracker'!B85)</f>
        <v>T-080</v>
      </c>
      <c r="C9" s="4" t="str">
        <f>IF('Master Tracker'!C85="","",'Master Tracker'!C85)</f>
        <v>Compliance</v>
      </c>
      <c r="D9" s="4" t="str">
        <f>IF('Master Tracker'!D85="","",'Master Tracker'!D85)</f>
        <v>Source-Type Controls</v>
      </c>
      <c r="E9" s="15" t="str">
        <f>IF('Master Tracker'!E85="","",'Master Tracker'!E85)</f>
        <v>Define rider-owned vehicle approval controls</v>
      </c>
      <c r="F9" s="15" t="str">
        <f>IF('Master Tracker'!F85="","",'Master Tracker'!F85)</f>
        <v>Proof of ownership, inspection, insurance and registration verification</v>
      </c>
      <c r="G9" s="15" t="str">
        <f>IF('Master Tracker'!G85="","",'Master Tracker'!G85)</f>
        <v>Rider-Owned Only</v>
      </c>
      <c r="H9" s="4" t="str">
        <f>IF('Master Tracker'!H85="","",'Master Tracker'!H85)</f>
        <v>Critical</v>
      </c>
      <c r="I9" s="15" t="str">
        <f>IF('Master Tracker'!I85="","",'Master Tracker'!I85)</f>
        <v>Phase 1 - Foundation</v>
      </c>
      <c r="J9" s="4" t="str">
        <f>IF('Master Tracker'!J85="","",'Master Tracker'!J85)</f>
        <v/>
      </c>
      <c r="K9" s="4" t="str">
        <f>IF('Master Tracker'!K85="","",'Master Tracker'!K85)</f>
        <v>Not Started</v>
      </c>
      <c r="L9" s="4" t="str">
        <f>IF('Master Tracker'!L85="","",'Master Tracker'!L85)</f>
        <v/>
      </c>
      <c r="M9" s="18" t="str">
        <f>IF('Master Tracker'!M85="","",'Master Tracker'!M85)</f>
        <v/>
      </c>
      <c r="N9" s="4" t="str">
        <f>IF('Master Tracker'!N85="","",'Master Tracker'!N85)</f>
        <v/>
      </c>
    </row>
    <row r="10" spans="1:14" ht="22.65" customHeight="1" x14ac:dyDescent="0.45">
      <c r="A10" s="13" t="str">
        <f>IF('Master Tracker'!A86="","",'Master Tracker'!A86)</f>
        <v>☐</v>
      </c>
      <c r="B10" s="14" t="str">
        <f>IF('Master Tracker'!B86="","",'Master Tracker'!B86)</f>
        <v>T-081</v>
      </c>
      <c r="C10" s="4" t="str">
        <f>IF('Master Tracker'!C86="","",'Master Tracker'!C86)</f>
        <v>Compliance</v>
      </c>
      <c r="D10" s="4" t="str">
        <f>IF('Master Tracker'!D86="","",'Master Tracker'!D86)</f>
        <v>Source-Type Controls</v>
      </c>
      <c r="E10" s="15" t="str">
        <f>IF('Master Tracker'!E86="","",'Master Tracker'!E86)</f>
        <v>Define rented vehicle supplier control requirements</v>
      </c>
      <c r="F10" s="15" t="str">
        <f>IF('Master Tracker'!F86="","",'Master Tracker'!F86)</f>
        <v>Valid contract, return terms, liability terms and SLA</v>
      </c>
      <c r="G10" s="15" t="str">
        <f>IF('Master Tracker'!G86="","",'Master Tracker'!G86)</f>
        <v>Rented Only</v>
      </c>
      <c r="H10" s="4" t="str">
        <f>IF('Master Tracker'!H86="","",'Master Tracker'!H86)</f>
        <v>High</v>
      </c>
      <c r="I10" s="15" t="str">
        <f>IF('Master Tracker'!I86="","",'Master Tracker'!I86)</f>
        <v>Phase 2 - Core Operations</v>
      </c>
      <c r="J10" s="4" t="str">
        <f>IF('Master Tracker'!J86="","",'Master Tracker'!J86)</f>
        <v/>
      </c>
      <c r="K10" s="4" t="str">
        <f>IF('Master Tracker'!K86="","",'Master Tracker'!K86)</f>
        <v>Not Started</v>
      </c>
      <c r="L10" s="4" t="str">
        <f>IF('Master Tracker'!L86="","",'Master Tracker'!L86)</f>
        <v/>
      </c>
      <c r="M10" s="18" t="str">
        <f>IF('Master Tracker'!M86="","",'Master Tracker'!M86)</f>
        <v/>
      </c>
      <c r="N10" s="4" t="str">
        <f>IF('Master Tracker'!N86="","",'Master Tracker'!N86)</f>
        <v/>
      </c>
    </row>
    <row r="11" spans="1:14" ht="22.65" customHeight="1" x14ac:dyDescent="0.45">
      <c r="A11" s="13" t="str">
        <f>IF('Master Tracker'!A87="","",'Master Tracker'!A87)</f>
        <v>☐</v>
      </c>
      <c r="B11" s="14" t="str">
        <f>IF('Master Tracker'!B87="","",'Master Tracker'!B87)</f>
        <v>T-082</v>
      </c>
      <c r="C11" s="4" t="str">
        <f>IF('Master Tracker'!C87="","",'Master Tracker'!C87)</f>
        <v>Compliance</v>
      </c>
      <c r="D11" s="4" t="str">
        <f>IF('Master Tracker'!D87="","",'Master Tracker'!D87)</f>
        <v>Source-Type Controls</v>
      </c>
      <c r="E11" s="15" t="str">
        <f>IF('Master Tracker'!E87="","",'Master Tracker'!E87)</f>
        <v>Define owned fleet audit requirements</v>
      </c>
      <c r="F11" s="15" t="str">
        <f>IF('Master Tracker'!F87="","",'Master Tracker'!F87)</f>
        <v>Asset tag, depreciation setup and maintenance plan existence</v>
      </c>
      <c r="G11" s="15" t="str">
        <f>IF('Master Tracker'!G87="","",'Master Tracker'!G87)</f>
        <v>Owned Only</v>
      </c>
      <c r="H11" s="4" t="str">
        <f>IF('Master Tracker'!H87="","",'Master Tracker'!H87)</f>
        <v>Medium</v>
      </c>
      <c r="I11" s="15" t="str">
        <f>IF('Master Tracker'!I87="","",'Master Tracker'!I87)</f>
        <v>Phase 3 - Finance &amp; Control</v>
      </c>
      <c r="J11" s="4" t="str">
        <f>IF('Master Tracker'!J87="","",'Master Tracker'!J87)</f>
        <v/>
      </c>
      <c r="K11" s="4" t="str">
        <f>IF('Master Tracker'!K87="","",'Master Tracker'!K87)</f>
        <v>Not Started</v>
      </c>
      <c r="L11" s="4" t="str">
        <f>IF('Master Tracker'!L87="","",'Master Tracker'!L87)</f>
        <v/>
      </c>
      <c r="M11" s="18" t="str">
        <f>IF('Master Tracker'!M87="","",'Master Tracker'!M87)</f>
        <v/>
      </c>
      <c r="N11" s="4" t="str">
        <f>IF('Master Tracker'!N87="","",'Master Tracker'!N87)</f>
        <v/>
      </c>
    </row>
    <row r="12" spans="1:14" ht="22.65" customHeight="1" x14ac:dyDescent="0.45">
      <c r="A12" s="13" t="str">
        <f>IF('Master Tracker'!A88="","",'Master Tracker'!A88)</f>
        <v>☐</v>
      </c>
      <c r="B12" s="14" t="str">
        <f>IF('Master Tracker'!B88="","",'Master Tracker'!B88)</f>
        <v>T-083</v>
      </c>
      <c r="C12" s="4" t="str">
        <f>IF('Master Tracker'!C88="","",'Master Tracker'!C88)</f>
        <v>Compliance</v>
      </c>
      <c r="D12" s="4" t="str">
        <f>IF('Master Tracker'!D88="","",'Master Tracker'!D88)</f>
        <v>Incidents</v>
      </c>
      <c r="E12" s="15" t="str">
        <f>IF('Master Tracker'!E88="","",'Master Tracker'!E88)</f>
        <v>Create accident evidence checklist</v>
      </c>
      <c r="F12" s="15" t="str">
        <f>IF('Master Tracker'!F88="","",'Master Tracker'!F88)</f>
        <v>Photos, police report, rider statement, vehicle status and recovery decision</v>
      </c>
      <c r="G12" s="15" t="str">
        <f>IF('Master Tracker'!G88="","",'Master Tracker'!G88)</f>
        <v>All</v>
      </c>
      <c r="H12" s="4" t="str">
        <f>IF('Master Tracker'!H88="","",'Master Tracker'!H88)</f>
        <v>High</v>
      </c>
      <c r="I12" s="15" t="str">
        <f>IF('Master Tracker'!I88="","",'Master Tracker'!I88)</f>
        <v>Phase 2 - Core Operations</v>
      </c>
      <c r="J12" s="4" t="str">
        <f>IF('Master Tracker'!J88="","",'Master Tracker'!J88)</f>
        <v/>
      </c>
      <c r="K12" s="4" t="str">
        <f>IF('Master Tracker'!K88="","",'Master Tracker'!K88)</f>
        <v>Not Started</v>
      </c>
      <c r="L12" s="4" t="str">
        <f>IF('Master Tracker'!L88="","",'Master Tracker'!L88)</f>
        <v/>
      </c>
      <c r="M12" s="18" t="str">
        <f>IF('Master Tracker'!M88="","",'Master Tracker'!M88)</f>
        <v/>
      </c>
      <c r="N12" s="4" t="str">
        <f>IF('Master Tracker'!N88="","",'Master Tracker'!N88)</f>
        <v/>
      </c>
    </row>
    <row r="13" spans="1:14" ht="22.65" customHeight="1" x14ac:dyDescent="0.45">
      <c r="A13" s="13" t="str">
        <f>IF('Master Tracker'!A89="","",'Master Tracker'!A89)</f>
        <v>☐</v>
      </c>
      <c r="B13" s="14" t="str">
        <f>IF('Master Tracker'!B89="","",'Master Tracker'!B89)</f>
        <v>T-084</v>
      </c>
      <c r="C13" s="4" t="str">
        <f>IF('Master Tracker'!C89="","",'Master Tracker'!C89)</f>
        <v>Compliance</v>
      </c>
      <c r="D13" s="4" t="str">
        <f>IF('Master Tracker'!D89="","",'Master Tracker'!D89)</f>
        <v>Incidents</v>
      </c>
      <c r="E13" s="15" t="str">
        <f>IF('Master Tracker'!E89="","",'Master Tracker'!E89)</f>
        <v>Create liability and recovery approval flow</v>
      </c>
      <c r="F13" s="15" t="str">
        <f>IF('Master Tracker'!F89="","",'Master Tracker'!F89)</f>
        <v>Who decides cost recovery and what threshold requires finance approval</v>
      </c>
      <c r="G13" s="15" t="str">
        <f>IF('Master Tracker'!G89="","",'Master Tracker'!G89)</f>
        <v>All (varies by source type)</v>
      </c>
      <c r="H13" s="4" t="str">
        <f>IF('Master Tracker'!H89="","",'Master Tracker'!H89)</f>
        <v>High</v>
      </c>
      <c r="I13" s="15" t="str">
        <f>IF('Master Tracker'!I89="","",'Master Tracker'!I89)</f>
        <v>Phase 3 - Finance &amp; Control</v>
      </c>
      <c r="J13" s="4" t="str">
        <f>IF('Master Tracker'!J89="","",'Master Tracker'!J89)</f>
        <v/>
      </c>
      <c r="K13" s="4" t="str">
        <f>IF('Master Tracker'!K89="","",'Master Tracker'!K89)</f>
        <v>Not Started</v>
      </c>
      <c r="L13" s="4" t="str">
        <f>IF('Master Tracker'!L89="","",'Master Tracker'!L89)</f>
        <v/>
      </c>
      <c r="M13" s="18" t="str">
        <f>IF('Master Tracker'!M89="","",'Master Tracker'!M89)</f>
        <v/>
      </c>
      <c r="N13" s="4" t="str">
        <f>IF('Master Tracker'!N89="","",'Master Tracker'!N89)</f>
        <v/>
      </c>
    </row>
    <row r="14" spans="1:14" ht="22.65" customHeight="1" x14ac:dyDescent="0.45">
      <c r="A14" s="13" t="str">
        <f>IF('Master Tracker'!A90="","",'Master Tracker'!A90)</f>
        <v>☐</v>
      </c>
      <c r="B14" s="14" t="str">
        <f>IF('Master Tracker'!B90="","",'Master Tracker'!B90)</f>
        <v>T-085</v>
      </c>
      <c r="C14" s="4" t="str">
        <f>IF('Master Tracker'!C90="","",'Master Tracker'!C90)</f>
        <v>Compliance</v>
      </c>
      <c r="D14" s="4" t="str">
        <f>IF('Master Tracker'!D90="","",'Master Tracker'!D90)</f>
        <v>Audit Trail</v>
      </c>
      <c r="E14" s="15" t="str">
        <f>IF('Master Tracker'!E90="","",'Master Tracker'!E90)</f>
        <v>Define audit log requirements</v>
      </c>
      <c r="F14" s="15" t="str">
        <f>IF('Master Tracker'!F90="","",'Master Tracker'!F90)</f>
        <v>Track who changed status, rates, assignments and payroll-sensitive fields</v>
      </c>
      <c r="G14" s="15" t="str">
        <f>IF('Master Tracker'!G90="","",'Master Tracker'!G90)</f>
        <v>All</v>
      </c>
      <c r="H14" s="4" t="str">
        <f>IF('Master Tracker'!H90="","",'Master Tracker'!H90)</f>
        <v>High</v>
      </c>
      <c r="I14" s="15" t="str">
        <f>IF('Master Tracker'!I90="","",'Master Tracker'!I90)</f>
        <v>Phase 2 - Core Operations</v>
      </c>
      <c r="J14" s="4" t="str">
        <f>IF('Master Tracker'!J90="","",'Master Tracker'!J90)</f>
        <v/>
      </c>
      <c r="K14" s="4" t="str">
        <f>IF('Master Tracker'!K90="","",'Master Tracker'!K90)</f>
        <v>Not Started</v>
      </c>
      <c r="L14" s="4" t="str">
        <f>IF('Master Tracker'!L90="","",'Master Tracker'!L90)</f>
        <v/>
      </c>
      <c r="M14" s="18" t="str">
        <f>IF('Master Tracker'!M90="","",'Master Tracker'!M90)</f>
        <v/>
      </c>
      <c r="N14" s="4" t="str">
        <f>IF('Master Tracker'!N90="","",'Master Tracker'!N90)</f>
        <v/>
      </c>
    </row>
    <row r="15" spans="1:14" ht="22.65" customHeight="1" x14ac:dyDescent="0.45">
      <c r="A15" s="13" t="str">
        <f>IF('Master Tracker'!A91="","",'Master Tracker'!A91)</f>
        <v>☐</v>
      </c>
      <c r="B15" s="14" t="str">
        <f>IF('Master Tracker'!B91="","",'Master Tracker'!B91)</f>
        <v>T-086</v>
      </c>
      <c r="C15" s="4" t="str">
        <f>IF('Master Tracker'!C91="","",'Master Tracker'!C91)</f>
        <v>Compliance</v>
      </c>
      <c r="D15" s="4" t="str">
        <f>IF('Master Tracker'!D91="","",'Master Tracker'!D91)</f>
        <v>Approvals</v>
      </c>
      <c r="E15" s="15" t="str">
        <f>IF('Master Tracker'!E91="","",'Master Tracker'!E91)</f>
        <v>Define exception approval workflow</v>
      </c>
      <c r="F15" s="15" t="str">
        <f>IF('Master Tracker'!F91="","",'Master Tracker'!F91)</f>
        <v>Temporary overrides for urgent shifts, document grace periods or replacement use</v>
      </c>
      <c r="G15" s="15" t="str">
        <f>IF('Master Tracker'!G91="","",'Master Tracker'!G91)</f>
        <v>All</v>
      </c>
      <c r="H15" s="4" t="str">
        <f>IF('Master Tracker'!H91="","",'Master Tracker'!H91)</f>
        <v>High</v>
      </c>
      <c r="I15" s="15" t="str">
        <f>IF('Master Tracker'!I91="","",'Master Tracker'!I91)</f>
        <v>Phase 2 - Core Operations</v>
      </c>
      <c r="J15" s="4" t="str">
        <f>IF('Master Tracker'!J91="","",'Master Tracker'!J91)</f>
        <v/>
      </c>
      <c r="K15" s="4" t="str">
        <f>IF('Master Tracker'!K91="","",'Master Tracker'!K91)</f>
        <v>Not Started</v>
      </c>
      <c r="L15" s="4" t="str">
        <f>IF('Master Tracker'!L91="","",'Master Tracker'!L91)</f>
        <v/>
      </c>
      <c r="M15" s="18" t="str">
        <f>IF('Master Tracker'!M91="","",'Master Tracker'!M91)</f>
        <v/>
      </c>
      <c r="N15" s="4" t="str">
        <f>IF('Master Tracker'!N91="","",'Master Tracker'!N91)</f>
        <v/>
      </c>
    </row>
    <row r="16" spans="1:14" ht="22.65" customHeight="1" x14ac:dyDescent="0.45">
      <c r="A16" s="13" t="str">
        <f>IF('Master Tracker'!A92="","",'Master Tracker'!A92)</f>
        <v>☐</v>
      </c>
      <c r="B16" s="14" t="str">
        <f>IF('Master Tracker'!B92="","",'Master Tracker'!B92)</f>
        <v>T-087</v>
      </c>
      <c r="C16" s="4" t="str">
        <f>IF('Master Tracker'!C92="","",'Master Tracker'!C92)</f>
        <v>Compliance</v>
      </c>
      <c r="D16" s="4" t="str">
        <f>IF('Master Tracker'!D92="","",'Master Tracker'!D92)</f>
        <v>Records</v>
      </c>
      <c r="E16" s="15" t="str">
        <f>IF('Master Tracker'!E92="","",'Master Tracker'!E92)</f>
        <v>Define document archive and retention policy</v>
      </c>
      <c r="F16" s="15" t="str">
        <f>IF('Master Tracker'!F92="","",'Master Tracker'!F92)</f>
        <v>Store rider docs, contracts, vehicle docs and supplier agreements</v>
      </c>
      <c r="G16" s="15" t="str">
        <f>IF('Master Tracker'!G92="","",'Master Tracker'!G92)</f>
        <v>All</v>
      </c>
      <c r="H16" s="4" t="str">
        <f>IF('Master Tracker'!H92="","",'Master Tracker'!H92)</f>
        <v>Medium</v>
      </c>
      <c r="I16" s="15" t="str">
        <f>IF('Master Tracker'!I92="","",'Master Tracker'!I92)</f>
        <v>Phase 2 - Core Operations</v>
      </c>
      <c r="J16" s="4" t="str">
        <f>IF('Master Tracker'!J92="","",'Master Tracker'!J92)</f>
        <v/>
      </c>
      <c r="K16" s="4" t="str">
        <f>IF('Master Tracker'!K92="","",'Master Tracker'!K92)</f>
        <v>Not Started</v>
      </c>
      <c r="L16" s="4" t="str">
        <f>IF('Master Tracker'!L92="","",'Master Tracker'!L92)</f>
        <v/>
      </c>
      <c r="M16" s="18" t="str">
        <f>IF('Master Tracker'!M92="","",'Master Tracker'!M92)</f>
        <v/>
      </c>
      <c r="N16" s="4" t="str">
        <f>IF('Master Tracker'!N92="","",'Master Tracker'!N92)</f>
        <v/>
      </c>
    </row>
    <row r="17" spans="1:14" ht="22.65" customHeight="1" x14ac:dyDescent="0.45">
      <c r="A17" s="13" t="str">
        <f>IF('Master Tracker'!A93="","",'Master Tracker'!A93)</f>
        <v>☐</v>
      </c>
      <c r="B17" s="14" t="str">
        <f>IF('Master Tracker'!B93="","",'Master Tracker'!B93)</f>
        <v>T-088</v>
      </c>
      <c r="C17" s="4" t="str">
        <f>IF('Master Tracker'!C93="","",'Master Tracker'!C93)</f>
        <v>Compliance</v>
      </c>
      <c r="D17" s="4" t="str">
        <f>IF('Master Tracker'!D93="","",'Master Tracker'!D93)</f>
        <v>Dashboard</v>
      </c>
      <c r="E17" s="15" t="str">
        <f>IF('Master Tracker'!E93="","",'Master Tracker'!E93)</f>
        <v>Define compliance dashboard metrics</v>
      </c>
      <c r="F17" s="15" t="str">
        <f>IF('Master Tracker'!F93="","",'Master Tracker'!F93)</f>
        <v>Expired docs, blocked riders, blocked vehicles and open incidents</v>
      </c>
      <c r="G17" s="15" t="str">
        <f>IF('Master Tracker'!G93="","",'Master Tracker'!G93)</f>
        <v>All</v>
      </c>
      <c r="H17" s="4" t="str">
        <f>IF('Master Tracker'!H93="","",'Master Tracker'!H93)</f>
        <v>Medium</v>
      </c>
      <c r="I17" s="15" t="str">
        <f>IF('Master Tracker'!I93="","",'Master Tracker'!I93)</f>
        <v>Phase 4 - Integrations &amp; BI</v>
      </c>
      <c r="J17" s="4" t="str">
        <f>IF('Master Tracker'!J93="","",'Master Tracker'!J93)</f>
        <v/>
      </c>
      <c r="K17" s="4" t="str">
        <f>IF('Master Tracker'!K93="","",'Master Tracker'!K93)</f>
        <v>Not Started</v>
      </c>
      <c r="L17" s="4" t="str">
        <f>IF('Master Tracker'!L93="","",'Master Tracker'!L93)</f>
        <v/>
      </c>
      <c r="M17" s="18" t="str">
        <f>IF('Master Tracker'!M93="","",'Master Tracker'!M93)</f>
        <v/>
      </c>
      <c r="N17" s="4" t="str">
        <f>IF('Master Tracker'!N93="","",'Master Tracker'!N93)</f>
        <v/>
      </c>
    </row>
  </sheetData>
  <mergeCells count="2">
    <mergeCell ref="A2:N3"/>
    <mergeCell ref="A1:N1"/>
  </mergeCells>
  <conditionalFormatting sqref="H6:H17">
    <cfRule type="expression" dxfId="23" priority="5">
      <formula>$H6="Critical"</formula>
    </cfRule>
    <cfRule type="expression" dxfId="22" priority="6">
      <formula>$H6="High"</formula>
    </cfRule>
    <cfRule type="expression" dxfId="21" priority="7">
      <formula>$H6="Low"</formula>
    </cfRule>
  </conditionalFormatting>
  <conditionalFormatting sqref="K6:K17">
    <cfRule type="expression" dxfId="20" priority="1">
      <formula>$K6="Done"</formula>
    </cfRule>
    <cfRule type="expression" dxfId="19" priority="2">
      <formula>$K6="In Progress"</formula>
    </cfRule>
    <cfRule type="expression" dxfId="18" priority="3">
      <formula>$K6="Blocked"</formula>
    </cfRule>
    <cfRule type="expression" dxfId="17" priority="4">
      <formula>$K6="Not Started"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5"/>
  <sheetViews>
    <sheetView workbookViewId="0">
      <selection sqref="A1:N1"/>
    </sheetView>
  </sheetViews>
  <sheetFormatPr defaultRowHeight="14.5" x14ac:dyDescent="0.35"/>
  <cols>
    <col min="1" max="2" width="11" customWidth="1"/>
    <col min="3" max="3" width="18" customWidth="1"/>
    <col min="4" max="4" width="20" customWidth="1"/>
    <col min="5" max="5" width="36" customWidth="1"/>
    <col min="6" max="6" width="44" customWidth="1"/>
    <col min="7" max="7" width="24" customWidth="1"/>
    <col min="8" max="8" width="11" customWidth="1"/>
    <col min="9" max="9" width="26" customWidth="1"/>
    <col min="10" max="10" width="15" customWidth="1"/>
    <col min="11" max="11" width="14" customWidth="1"/>
    <col min="12" max="12" width="16" customWidth="1"/>
    <col min="13" max="13" width="13" customWidth="1"/>
    <col min="14" max="14" width="24" customWidth="1"/>
  </cols>
  <sheetData>
    <row r="1" spans="1:14" ht="16" customHeight="1" x14ac:dyDescent="0.35">
      <c r="A1" s="27" t="s">
        <v>449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65" customHeight="1" x14ac:dyDescent="0.35">
      <c r="A2" s="26" t="s">
        <v>450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ht="17.399999999999999" customHeight="1" x14ac:dyDescent="0.35">
      <c r="A5" s="3" t="s">
        <v>45</v>
      </c>
      <c r="B5" s="3" t="s">
        <v>46</v>
      </c>
      <c r="C5" s="3" t="s">
        <v>32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ht="22.65" customHeight="1" x14ac:dyDescent="0.45">
      <c r="A6" s="13" t="str">
        <f>IF('Master Tracker'!A94="","",'Master Tracker'!A94)</f>
        <v>☐</v>
      </c>
      <c r="B6" s="14" t="str">
        <f>IF('Master Tracker'!B94="","",'Master Tracker'!B94)</f>
        <v>T-089</v>
      </c>
      <c r="C6" s="4" t="str">
        <f>IF('Master Tracker'!C94="","",'Master Tracker'!C94)</f>
        <v>Integrations</v>
      </c>
      <c r="D6" s="4" t="str">
        <f>IF('Master Tracker'!D94="","",'Master Tracker'!D94)</f>
        <v>Aggregator APIs</v>
      </c>
      <c r="E6" s="15" t="str">
        <f>IF('Master Tracker'!E94="","",'Master Tracker'!E94)</f>
        <v>Gather API requirements for Talabat / Jahez / Keeta</v>
      </c>
      <c r="F6" s="15" t="str">
        <f>IF('Master Tracker'!F94="","",'Master Tracker'!F94)</f>
        <v>Auth method, order feed, rider mapping, earnings and reconciliation data</v>
      </c>
      <c r="G6" s="15" t="str">
        <f>IF('Master Tracker'!G94="","",'Master Tracker'!G94)</f>
        <v>All</v>
      </c>
      <c r="H6" s="4" t="str">
        <f>IF('Master Tracker'!H94="","",'Master Tracker'!H94)</f>
        <v>Critical</v>
      </c>
      <c r="I6" s="15" t="str">
        <f>IF('Master Tracker'!I94="","",'Master Tracker'!I94)</f>
        <v>Phase 2 - Core Operations</v>
      </c>
      <c r="J6" s="4" t="str">
        <f>IF('Master Tracker'!J94="","",'Master Tracker'!J94)</f>
        <v/>
      </c>
      <c r="K6" s="4" t="str">
        <f>IF('Master Tracker'!K94="","",'Master Tracker'!K94)</f>
        <v>Not Started</v>
      </c>
      <c r="L6" s="4" t="str">
        <f>IF('Master Tracker'!L94="","",'Master Tracker'!L94)</f>
        <v/>
      </c>
      <c r="M6" s="18" t="str">
        <f>IF('Master Tracker'!M94="","",'Master Tracker'!M94)</f>
        <v/>
      </c>
      <c r="N6" s="4" t="str">
        <f>IF('Master Tracker'!N94="","",'Master Tracker'!N94)</f>
        <v/>
      </c>
    </row>
    <row r="7" spans="1:14" ht="22.65" customHeight="1" x14ac:dyDescent="0.45">
      <c r="A7" s="13" t="str">
        <f>IF('Master Tracker'!A95="","",'Master Tracker'!A95)</f>
        <v>☐</v>
      </c>
      <c r="B7" s="14" t="str">
        <f>IF('Master Tracker'!B95="","",'Master Tracker'!B95)</f>
        <v>T-090</v>
      </c>
      <c r="C7" s="4" t="str">
        <f>IF('Master Tracker'!C95="","",'Master Tracker'!C95)</f>
        <v>Integrations</v>
      </c>
      <c r="D7" s="4" t="str">
        <f>IF('Master Tracker'!D95="","",'Master Tracker'!D95)</f>
        <v>Aggregator APIs</v>
      </c>
      <c r="E7" s="15" t="str">
        <f>IF('Master Tracker'!E95="","",'Master Tracker'!E95)</f>
        <v>Design external order ID mapping strategy</v>
      </c>
      <c r="F7" s="15" t="str">
        <f>IF('Master Tracker'!F95="","",'Master Tracker'!F95)</f>
        <v>Persist unique order references and source import lineage</v>
      </c>
      <c r="G7" s="15" t="str">
        <f>IF('Master Tracker'!G95="","",'Master Tracker'!G95)</f>
        <v>All</v>
      </c>
      <c r="H7" s="4" t="str">
        <f>IF('Master Tracker'!H95="","",'Master Tracker'!H95)</f>
        <v>Critical</v>
      </c>
      <c r="I7" s="15" t="str">
        <f>IF('Master Tracker'!I95="","",'Master Tracker'!I95)</f>
        <v>Phase 2 - Core Operations</v>
      </c>
      <c r="J7" s="4" t="str">
        <f>IF('Master Tracker'!J95="","",'Master Tracker'!J95)</f>
        <v/>
      </c>
      <c r="K7" s="4" t="str">
        <f>IF('Master Tracker'!K95="","",'Master Tracker'!K95)</f>
        <v>Not Started</v>
      </c>
      <c r="L7" s="4" t="str">
        <f>IF('Master Tracker'!L95="","",'Master Tracker'!L95)</f>
        <v/>
      </c>
      <c r="M7" s="18" t="str">
        <f>IF('Master Tracker'!M95="","",'Master Tracker'!M95)</f>
        <v/>
      </c>
      <c r="N7" s="4" t="str">
        <f>IF('Master Tracker'!N95="","",'Master Tracker'!N95)</f>
        <v/>
      </c>
    </row>
    <row r="8" spans="1:14" ht="22.65" customHeight="1" x14ac:dyDescent="0.45">
      <c r="A8" s="13" t="str">
        <f>IF('Master Tracker'!A96="","",'Master Tracker'!A96)</f>
        <v>☐</v>
      </c>
      <c r="B8" s="14" t="str">
        <f>IF('Master Tracker'!B96="","",'Master Tracker'!B96)</f>
        <v>T-091</v>
      </c>
      <c r="C8" s="4" t="str">
        <f>IF('Master Tracker'!C96="","",'Master Tracker'!C96)</f>
        <v>Integrations</v>
      </c>
      <c r="D8" s="4" t="str">
        <f>IF('Master Tracker'!D96="","",'Master Tracker'!D96)</f>
        <v>Aggregator APIs</v>
      </c>
      <c r="E8" s="15" t="str">
        <f>IF('Master Tracker'!E96="","",'Master Tracker'!E96)</f>
        <v>Design earnings / incentive import mapping</v>
      </c>
      <c r="F8" s="15" t="str">
        <f>IF('Master Tracker'!F96="","",'Master Tracker'!F96)</f>
        <v>Link imported payouts to payroll and billing calculations</v>
      </c>
      <c r="G8" s="15" t="str">
        <f>IF('Master Tracker'!G96="","",'Master Tracker'!G96)</f>
        <v>All</v>
      </c>
      <c r="H8" s="4" t="str">
        <f>IF('Master Tracker'!H96="","",'Master Tracker'!H96)</f>
        <v>High</v>
      </c>
      <c r="I8" s="15" t="str">
        <f>IF('Master Tracker'!I96="","",'Master Tracker'!I96)</f>
        <v>Phase 3 - Finance &amp; Control</v>
      </c>
      <c r="J8" s="4" t="str">
        <f>IF('Master Tracker'!J96="","",'Master Tracker'!J96)</f>
        <v/>
      </c>
      <c r="K8" s="4" t="str">
        <f>IF('Master Tracker'!K96="","",'Master Tracker'!K96)</f>
        <v>Not Started</v>
      </c>
      <c r="L8" s="4" t="str">
        <f>IF('Master Tracker'!L96="","",'Master Tracker'!L96)</f>
        <v/>
      </c>
      <c r="M8" s="18" t="str">
        <f>IF('Master Tracker'!M96="","",'Master Tracker'!M96)</f>
        <v/>
      </c>
      <c r="N8" s="4" t="str">
        <f>IF('Master Tracker'!N96="","",'Master Tracker'!N96)</f>
        <v/>
      </c>
    </row>
    <row r="9" spans="1:14" ht="22.65" customHeight="1" x14ac:dyDescent="0.45">
      <c r="A9" s="13" t="str">
        <f>IF('Master Tracker'!A97="","",'Master Tracker'!A97)</f>
        <v>☐</v>
      </c>
      <c r="B9" s="14" t="str">
        <f>IF('Master Tracker'!B97="","",'Master Tracker'!B97)</f>
        <v>T-092</v>
      </c>
      <c r="C9" s="4" t="str">
        <f>IF('Master Tracker'!C97="","",'Master Tracker'!C97)</f>
        <v>Integrations</v>
      </c>
      <c r="D9" s="4" t="str">
        <f>IF('Master Tracker'!D97="","",'Master Tracker'!D97)</f>
        <v>Mobility</v>
      </c>
      <c r="E9" s="15" t="str">
        <f>IF('Master Tracker'!E97="","",'Master Tracker'!E97)</f>
        <v>Define GPS / telematics integration requirements</v>
      </c>
      <c r="F9" s="15" t="str">
        <f>IF('Master Tracker'!F97="","",'Master Tracker'!F97)</f>
        <v>Location, trip timing, speed, distance and route evidence</v>
      </c>
      <c r="G9" s="15" t="str">
        <f>IF('Master Tracker'!G97="","",'Master Tracker'!G97)</f>
        <v>All</v>
      </c>
      <c r="H9" s="4" t="str">
        <f>IF('Master Tracker'!H97="","",'Master Tracker'!H97)</f>
        <v>High</v>
      </c>
      <c r="I9" s="15" t="str">
        <f>IF('Master Tracker'!I97="","",'Master Tracker'!I97)</f>
        <v>Phase 2 - Core Operations</v>
      </c>
      <c r="J9" s="4" t="str">
        <f>IF('Master Tracker'!J97="","",'Master Tracker'!J97)</f>
        <v/>
      </c>
      <c r="K9" s="4" t="str">
        <f>IF('Master Tracker'!K97="","",'Master Tracker'!K97)</f>
        <v>Not Started</v>
      </c>
      <c r="L9" s="4" t="str">
        <f>IF('Master Tracker'!L97="","",'Master Tracker'!L97)</f>
        <v/>
      </c>
      <c r="M9" s="18" t="str">
        <f>IF('Master Tracker'!M97="","",'Master Tracker'!M97)</f>
        <v/>
      </c>
      <c r="N9" s="4" t="str">
        <f>IF('Master Tracker'!N97="","",'Master Tracker'!N97)</f>
        <v/>
      </c>
    </row>
    <row r="10" spans="1:14" ht="22.65" customHeight="1" x14ac:dyDescent="0.45">
      <c r="A10" s="13" t="str">
        <f>IF('Master Tracker'!A98="","",'Master Tracker'!A98)</f>
        <v>☐</v>
      </c>
      <c r="B10" s="14" t="str">
        <f>IF('Master Tracker'!B98="","",'Master Tracker'!B98)</f>
        <v>T-093</v>
      </c>
      <c r="C10" s="4" t="str">
        <f>IF('Master Tracker'!C98="","",'Master Tracker'!C98)</f>
        <v>Integrations</v>
      </c>
      <c r="D10" s="4" t="str">
        <f>IF('Master Tracker'!D98="","",'Master Tracker'!D98)</f>
        <v>Mobility</v>
      </c>
      <c r="E10" s="15" t="str">
        <f>IF('Master Tracker'!E98="","",'Master Tracker'!E98)</f>
        <v>Define mobile app needs for rider and supervisor</v>
      </c>
      <c r="F10" s="15" t="str">
        <f>IF('Master Tracker'!F98="","",'Master Tracker'!F98)</f>
        <v>Attendance, issues, assignment view, earnings and compliance reminders</v>
      </c>
      <c r="G10" s="15" t="str">
        <f>IF('Master Tracker'!G98="","",'Master Tracker'!G98)</f>
        <v>All</v>
      </c>
      <c r="H10" s="4" t="str">
        <f>IF('Master Tracker'!H98="","",'Master Tracker'!H98)</f>
        <v>High</v>
      </c>
      <c r="I10" s="15" t="str">
        <f>IF('Master Tracker'!I98="","",'Master Tracker'!I98)</f>
        <v>Phase 4 - Integrations &amp; BI</v>
      </c>
      <c r="J10" s="4" t="str">
        <f>IF('Master Tracker'!J98="","",'Master Tracker'!J98)</f>
        <v/>
      </c>
      <c r="K10" s="4" t="str">
        <f>IF('Master Tracker'!K98="","",'Master Tracker'!K98)</f>
        <v>Not Started</v>
      </c>
      <c r="L10" s="4" t="str">
        <f>IF('Master Tracker'!L98="","",'Master Tracker'!L98)</f>
        <v/>
      </c>
      <c r="M10" s="18" t="str">
        <f>IF('Master Tracker'!M98="","",'Master Tracker'!M98)</f>
        <v/>
      </c>
      <c r="N10" s="4" t="str">
        <f>IF('Master Tracker'!N98="","",'Master Tracker'!N98)</f>
        <v/>
      </c>
    </row>
    <row r="11" spans="1:14" ht="22.65" customHeight="1" x14ac:dyDescent="0.45">
      <c r="A11" s="13" t="str">
        <f>IF('Master Tracker'!A99="","",'Master Tracker'!A99)</f>
        <v>☐</v>
      </c>
      <c r="B11" s="14" t="str">
        <f>IF('Master Tracker'!B99="","",'Master Tracker'!B99)</f>
        <v>T-094</v>
      </c>
      <c r="C11" s="4" t="str">
        <f>IF('Master Tracker'!C99="","",'Master Tracker'!C99)</f>
        <v>Integrations</v>
      </c>
      <c r="D11" s="4" t="str">
        <f>IF('Master Tracker'!D99="","",'Master Tracker'!D99)</f>
        <v>Finance Systems</v>
      </c>
      <c r="E11" s="15" t="str">
        <f>IF('Master Tracker'!E99="","",'Master Tracker'!E99)</f>
        <v>Define accounting system integration scope</v>
      </c>
      <c r="F11" s="15" t="str">
        <f>IF('Master Tracker'!F99="","",'Master Tracker'!F99)</f>
        <v>AP, AR, payroll journals, asset movements and cost centers</v>
      </c>
      <c r="G11" s="15" t="str">
        <f>IF('Master Tracker'!G99="","",'Master Tracker'!G99)</f>
        <v>All</v>
      </c>
      <c r="H11" s="4" t="str">
        <f>IF('Master Tracker'!H99="","",'Master Tracker'!H99)</f>
        <v>Medium</v>
      </c>
      <c r="I11" s="15" t="str">
        <f>IF('Master Tracker'!I99="","",'Master Tracker'!I99)</f>
        <v>Phase 4 - Integrations &amp; BI</v>
      </c>
      <c r="J11" s="4" t="str">
        <f>IF('Master Tracker'!J99="","",'Master Tracker'!J99)</f>
        <v/>
      </c>
      <c r="K11" s="4" t="str">
        <f>IF('Master Tracker'!K99="","",'Master Tracker'!K99)</f>
        <v>Not Started</v>
      </c>
      <c r="L11" s="4" t="str">
        <f>IF('Master Tracker'!L99="","",'Master Tracker'!L99)</f>
        <v/>
      </c>
      <c r="M11" s="18" t="str">
        <f>IF('Master Tracker'!M99="","",'Master Tracker'!M99)</f>
        <v/>
      </c>
      <c r="N11" s="4" t="str">
        <f>IF('Master Tracker'!N99="","",'Master Tracker'!N99)</f>
        <v/>
      </c>
    </row>
    <row r="12" spans="1:14" ht="22.65" customHeight="1" x14ac:dyDescent="0.45">
      <c r="A12" s="13" t="str">
        <f>IF('Master Tracker'!A100="","",'Master Tracker'!A100)</f>
        <v>☐</v>
      </c>
      <c r="B12" s="14" t="str">
        <f>IF('Master Tracker'!B100="","",'Master Tracker'!B100)</f>
        <v>T-095</v>
      </c>
      <c r="C12" s="4" t="str">
        <f>IF('Master Tracker'!C100="","",'Master Tracker'!C100)</f>
        <v>Integrations</v>
      </c>
      <c r="D12" s="4" t="str">
        <f>IF('Master Tracker'!D100="","",'Master Tracker'!D100)</f>
        <v>Documents</v>
      </c>
      <c r="E12" s="15" t="str">
        <f>IF('Master Tracker'!E100="","",'Master Tracker'!E100)</f>
        <v>Define e-sign / document storage integration</v>
      </c>
      <c r="F12" s="15" t="str">
        <f>IF('Master Tracker'!F100="","",'Master Tracker'!F100)</f>
        <v>Contracts, document uploads and approval evidence</v>
      </c>
      <c r="G12" s="15" t="str">
        <f>IF('Master Tracker'!G100="","",'Master Tracker'!G100)</f>
        <v>All</v>
      </c>
      <c r="H12" s="4" t="str">
        <f>IF('Master Tracker'!H100="","",'Master Tracker'!H100)</f>
        <v>Medium</v>
      </c>
      <c r="I12" s="15" t="str">
        <f>IF('Master Tracker'!I100="","",'Master Tracker'!I100)</f>
        <v>Phase 4 - Integrations &amp; BI</v>
      </c>
      <c r="J12" s="4" t="str">
        <f>IF('Master Tracker'!J100="","",'Master Tracker'!J100)</f>
        <v/>
      </c>
      <c r="K12" s="4" t="str">
        <f>IF('Master Tracker'!K100="","",'Master Tracker'!K100)</f>
        <v>Not Started</v>
      </c>
      <c r="L12" s="4" t="str">
        <f>IF('Master Tracker'!L100="","",'Master Tracker'!L100)</f>
        <v/>
      </c>
      <c r="M12" s="18" t="str">
        <f>IF('Master Tracker'!M100="","",'Master Tracker'!M100)</f>
        <v/>
      </c>
      <c r="N12" s="4" t="str">
        <f>IF('Master Tracker'!N100="","",'Master Tracker'!N100)</f>
        <v/>
      </c>
    </row>
    <row r="13" spans="1:14" ht="22.65" customHeight="1" x14ac:dyDescent="0.45">
      <c r="A13" s="13" t="str">
        <f>IF('Master Tracker'!A101="","",'Master Tracker'!A101)</f>
        <v>☐</v>
      </c>
      <c r="B13" s="14" t="str">
        <f>IF('Master Tracker'!B101="","",'Master Tracker'!B101)</f>
        <v>T-096</v>
      </c>
      <c r="C13" s="4" t="str">
        <f>IF('Master Tracker'!C101="","",'Master Tracker'!C101)</f>
        <v>Integrations</v>
      </c>
      <c r="D13" s="4" t="str">
        <f>IF('Master Tracker'!D101="","",'Master Tracker'!D101)</f>
        <v>Notifications</v>
      </c>
      <c r="E13" s="15" t="str">
        <f>IF('Master Tracker'!E101="","",'Master Tracker'!E101)</f>
        <v>Create alerting requirements</v>
      </c>
      <c r="F13" s="15" t="str">
        <f>IF('Master Tracker'!F101="","",'Master Tracker'!F101)</f>
        <v>Expiry alerts, breakdown alerts, blocked activation and payroll exceptions</v>
      </c>
      <c r="G13" s="15" t="str">
        <f>IF('Master Tracker'!G101="","",'Master Tracker'!G101)</f>
        <v>All</v>
      </c>
      <c r="H13" s="4" t="str">
        <f>IF('Master Tracker'!H101="","",'Master Tracker'!H101)</f>
        <v>High</v>
      </c>
      <c r="I13" s="15" t="str">
        <f>IF('Master Tracker'!I101="","",'Master Tracker'!I101)</f>
        <v>Phase 2 - Core Operations</v>
      </c>
      <c r="J13" s="4" t="str">
        <f>IF('Master Tracker'!J101="","",'Master Tracker'!J101)</f>
        <v/>
      </c>
      <c r="K13" s="4" t="str">
        <f>IF('Master Tracker'!K101="","",'Master Tracker'!K101)</f>
        <v>Not Started</v>
      </c>
      <c r="L13" s="4" t="str">
        <f>IF('Master Tracker'!L101="","",'Master Tracker'!L101)</f>
        <v/>
      </c>
      <c r="M13" s="18" t="str">
        <f>IF('Master Tracker'!M101="","",'Master Tracker'!M101)</f>
        <v/>
      </c>
      <c r="N13" s="4" t="str">
        <f>IF('Master Tracker'!N101="","",'Master Tracker'!N101)</f>
        <v/>
      </c>
    </row>
    <row r="14" spans="1:14" ht="22.65" customHeight="1" x14ac:dyDescent="0.45">
      <c r="A14" s="13" t="str">
        <f>IF('Master Tracker'!A102="","",'Master Tracker'!A102)</f>
        <v>☐</v>
      </c>
      <c r="B14" s="14" t="str">
        <f>IF('Master Tracker'!B102="","",'Master Tracker'!B102)</f>
        <v>T-097</v>
      </c>
      <c r="C14" s="4" t="str">
        <f>IF('Master Tracker'!C102="","",'Master Tracker'!C102)</f>
        <v>Integrations</v>
      </c>
      <c r="D14" s="4" t="str">
        <f>IF('Master Tracker'!D102="","",'Master Tracker'!D102)</f>
        <v>Reliability</v>
      </c>
      <c r="E14" s="15" t="str">
        <f>IF('Master Tracker'!E102="","",'Master Tracker'!E102)</f>
        <v>Design webhook retry and error handling</v>
      </c>
      <c r="F14" s="15" t="str">
        <f>IF('Master Tracker'!F102="","",'Master Tracker'!F102)</f>
        <v>Ensure imports are idempotent, monitored and replayable</v>
      </c>
      <c r="G14" s="15" t="str">
        <f>IF('Master Tracker'!G102="","",'Master Tracker'!G102)</f>
        <v>All</v>
      </c>
      <c r="H14" s="4" t="str">
        <f>IF('Master Tracker'!H102="","",'Master Tracker'!H102)</f>
        <v>High</v>
      </c>
      <c r="I14" s="15" t="str">
        <f>IF('Master Tracker'!I102="","",'Master Tracker'!I102)</f>
        <v>Phase 2 - Core Operations</v>
      </c>
      <c r="J14" s="4" t="str">
        <f>IF('Master Tracker'!J102="","",'Master Tracker'!J102)</f>
        <v/>
      </c>
      <c r="K14" s="4" t="str">
        <f>IF('Master Tracker'!K102="","",'Master Tracker'!K102)</f>
        <v>Not Started</v>
      </c>
      <c r="L14" s="4" t="str">
        <f>IF('Master Tracker'!L102="","",'Master Tracker'!L102)</f>
        <v/>
      </c>
      <c r="M14" s="18" t="str">
        <f>IF('Master Tracker'!M102="","",'Master Tracker'!M102)</f>
        <v/>
      </c>
      <c r="N14" s="4" t="str">
        <f>IF('Master Tracker'!N102="","",'Master Tracker'!N102)</f>
        <v/>
      </c>
    </row>
    <row r="15" spans="1:14" ht="22.65" customHeight="1" x14ac:dyDescent="0.45">
      <c r="A15" s="13" t="str">
        <f>IF('Master Tracker'!A103="","",'Master Tracker'!A103)</f>
        <v>☐</v>
      </c>
      <c r="B15" s="14" t="str">
        <f>IF('Master Tracker'!B103="","",'Master Tracker'!B103)</f>
        <v>T-098</v>
      </c>
      <c r="C15" s="4" t="str">
        <f>IF('Master Tracker'!C103="","",'Master Tracker'!C103)</f>
        <v>Integrations</v>
      </c>
      <c r="D15" s="4" t="str">
        <f>IF('Master Tracker'!D103="","",'Master Tracker'!D103)</f>
        <v>Reliability</v>
      </c>
      <c r="E15" s="15" t="str">
        <f>IF('Master Tracker'!E103="","",'Master Tracker'!E103)</f>
        <v>Create integration monitoring checklist</v>
      </c>
      <c r="F15" s="15" t="str">
        <f>IF('Master Tracker'!F103="","",'Master Tracker'!F103)</f>
        <v>Daily file/API status, failures, latency and reconciliation gaps</v>
      </c>
      <c r="G15" s="15" t="str">
        <f>IF('Master Tracker'!G103="","",'Master Tracker'!G103)</f>
        <v>All</v>
      </c>
      <c r="H15" s="4" t="str">
        <f>IF('Master Tracker'!H103="","",'Master Tracker'!H103)</f>
        <v>Medium</v>
      </c>
      <c r="I15" s="15" t="str">
        <f>IF('Master Tracker'!I103="","",'Master Tracker'!I103)</f>
        <v>Phase 4 - Integrations &amp; BI</v>
      </c>
      <c r="J15" s="4" t="str">
        <f>IF('Master Tracker'!J103="","",'Master Tracker'!J103)</f>
        <v/>
      </c>
      <c r="K15" s="4" t="str">
        <f>IF('Master Tracker'!K103="","",'Master Tracker'!K103)</f>
        <v>Not Started</v>
      </c>
      <c r="L15" s="4" t="str">
        <f>IF('Master Tracker'!L103="","",'Master Tracker'!L103)</f>
        <v/>
      </c>
      <c r="M15" s="18" t="str">
        <f>IF('Master Tracker'!M103="","",'Master Tracker'!M103)</f>
        <v/>
      </c>
      <c r="N15" s="4" t="str">
        <f>IF('Master Tracker'!N103="","",'Master Tracker'!N103)</f>
        <v/>
      </c>
    </row>
  </sheetData>
  <mergeCells count="2">
    <mergeCell ref="A2:N3"/>
    <mergeCell ref="A1:N1"/>
  </mergeCells>
  <conditionalFormatting sqref="H6:H15">
    <cfRule type="expression" dxfId="16" priority="5">
      <formula>$H6="Critical"</formula>
    </cfRule>
    <cfRule type="expression" dxfId="15" priority="6">
      <formula>$H6="High"</formula>
    </cfRule>
    <cfRule type="expression" dxfId="14" priority="7">
      <formula>$H6="Low"</formula>
    </cfRule>
  </conditionalFormatting>
  <conditionalFormatting sqref="K6:K15">
    <cfRule type="expression" dxfId="13" priority="1">
      <formula>$K6="Done"</formula>
    </cfRule>
    <cfRule type="expression" dxfId="12" priority="2">
      <formula>$K6="In Progress"</formula>
    </cfRule>
    <cfRule type="expression" dxfId="11" priority="3">
      <formula>$K6="Blocked"</formula>
    </cfRule>
    <cfRule type="expression" dxfId="10" priority="4">
      <formula>$K6="Not Started"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>
      <selection sqref="A1:N1"/>
    </sheetView>
  </sheetViews>
  <sheetFormatPr defaultRowHeight="14.5" x14ac:dyDescent="0.35"/>
  <cols>
    <col min="1" max="2" width="11" customWidth="1"/>
    <col min="3" max="3" width="18" customWidth="1"/>
    <col min="4" max="4" width="20" customWidth="1"/>
    <col min="5" max="5" width="36" customWidth="1"/>
    <col min="6" max="6" width="44" customWidth="1"/>
    <col min="7" max="7" width="24" customWidth="1"/>
    <col min="8" max="8" width="11" customWidth="1"/>
    <col min="9" max="9" width="26" customWidth="1"/>
    <col min="10" max="10" width="15" customWidth="1"/>
    <col min="11" max="11" width="14" customWidth="1"/>
    <col min="12" max="12" width="16" customWidth="1"/>
    <col min="13" max="13" width="13" customWidth="1"/>
    <col min="14" max="14" width="24" customWidth="1"/>
  </cols>
  <sheetData>
    <row r="1" spans="1:14" ht="16" customHeight="1" x14ac:dyDescent="0.35">
      <c r="A1" s="27" t="s">
        <v>451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65" customHeight="1" x14ac:dyDescent="0.35">
      <c r="A2" s="26" t="s">
        <v>452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0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ht="17.399999999999999" customHeight="1" x14ac:dyDescent="0.35">
      <c r="A5" s="3" t="s">
        <v>45</v>
      </c>
      <c r="B5" s="3" t="s">
        <v>46</v>
      </c>
      <c r="C5" s="3" t="s">
        <v>32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ht="22.65" customHeight="1" x14ac:dyDescent="0.45">
      <c r="A6" s="13" t="str">
        <f>IF('Master Tracker'!A104="","",'Master Tracker'!A104)</f>
        <v>☐</v>
      </c>
      <c r="B6" s="14" t="str">
        <f>IF('Master Tracker'!B104="","",'Master Tracker'!B104)</f>
        <v>T-099</v>
      </c>
      <c r="C6" s="4" t="str">
        <f>IF('Master Tracker'!C104="","",'Master Tracker'!C104)</f>
        <v>BI &amp; Reports</v>
      </c>
      <c r="D6" s="4" t="str">
        <f>IF('Master Tracker'!D104="","",'Master Tracker'!D104)</f>
        <v>Metric Design</v>
      </c>
      <c r="E6" s="15" t="str">
        <f>IF('Master Tracker'!E104="","",'Master Tracker'!E104)</f>
        <v>Create KPI dictionary</v>
      </c>
      <c r="F6" s="15" t="str">
        <f>IF('Master Tracker'!F104="","",'Master Tracker'!F104)</f>
        <v>Define formulas, owners, grain and refresh frequency for each KPI</v>
      </c>
      <c r="G6" s="15" t="str">
        <f>IF('Master Tracker'!G104="","",'Master Tracker'!G104)</f>
        <v>All</v>
      </c>
      <c r="H6" s="4" t="str">
        <f>IF('Master Tracker'!H104="","",'Master Tracker'!H104)</f>
        <v>High</v>
      </c>
      <c r="I6" s="15" t="str">
        <f>IF('Master Tracker'!I104="","",'Master Tracker'!I104)</f>
        <v>Phase 4 - Integrations &amp; BI</v>
      </c>
      <c r="J6" s="4" t="str">
        <f>IF('Master Tracker'!J104="","",'Master Tracker'!J104)</f>
        <v/>
      </c>
      <c r="K6" s="4" t="str">
        <f>IF('Master Tracker'!K104="","",'Master Tracker'!K104)</f>
        <v>Not Started</v>
      </c>
      <c r="L6" s="4" t="str">
        <f>IF('Master Tracker'!L104="","",'Master Tracker'!L104)</f>
        <v/>
      </c>
      <c r="M6" s="18" t="str">
        <f>IF('Master Tracker'!M104="","",'Master Tracker'!M104)</f>
        <v/>
      </c>
      <c r="N6" s="4" t="str">
        <f>IF('Master Tracker'!N104="","",'Master Tracker'!N104)</f>
        <v/>
      </c>
    </row>
    <row r="7" spans="1:14" ht="22.65" customHeight="1" x14ac:dyDescent="0.45">
      <c r="A7" s="13" t="str">
        <f>IF('Master Tracker'!A105="","",'Master Tracker'!A105)</f>
        <v>☐</v>
      </c>
      <c r="B7" s="14" t="str">
        <f>IF('Master Tracker'!B105="","",'Master Tracker'!B105)</f>
        <v>T-100</v>
      </c>
      <c r="C7" s="4" t="str">
        <f>IF('Master Tracker'!C105="","",'Master Tracker'!C105)</f>
        <v>BI &amp; Reports</v>
      </c>
      <c r="D7" s="4" t="str">
        <f>IF('Master Tracker'!D105="","",'Master Tracker'!D105)</f>
        <v>Metric Design</v>
      </c>
      <c r="E7" s="15" t="str">
        <f>IF('Master Tracker'!E105="","",'Master Tracker'!E105)</f>
        <v>Define source-type profitability KPIs</v>
      </c>
      <c r="F7" s="15" t="str">
        <f>IF('Master Tracker'!F105="","",'Master Tracker'!F105)</f>
        <v>Profit per owned / rented / rider-owned vehicle model</v>
      </c>
      <c r="G7" s="15" t="str">
        <f>IF('Master Tracker'!G105="","",'Master Tracker'!G105)</f>
        <v>All</v>
      </c>
      <c r="H7" s="4" t="str">
        <f>IF('Master Tracker'!H105="","",'Master Tracker'!H105)</f>
        <v>Critical</v>
      </c>
      <c r="I7" s="15" t="str">
        <f>IF('Master Tracker'!I105="","",'Master Tracker'!I105)</f>
        <v>Phase 4 - Integrations &amp; BI</v>
      </c>
      <c r="J7" s="4" t="str">
        <f>IF('Master Tracker'!J105="","",'Master Tracker'!J105)</f>
        <v/>
      </c>
      <c r="K7" s="4" t="str">
        <f>IF('Master Tracker'!K105="","",'Master Tracker'!K105)</f>
        <v>Not Started</v>
      </c>
      <c r="L7" s="4" t="str">
        <f>IF('Master Tracker'!L105="","",'Master Tracker'!L105)</f>
        <v/>
      </c>
      <c r="M7" s="18" t="str">
        <f>IF('Master Tracker'!M105="","",'Master Tracker'!M105)</f>
        <v/>
      </c>
      <c r="N7" s="4" t="str">
        <f>IF('Master Tracker'!N105="","",'Master Tracker'!N105)</f>
        <v/>
      </c>
    </row>
    <row r="8" spans="1:14" ht="22.65" customHeight="1" x14ac:dyDescent="0.45">
      <c r="A8" s="13" t="str">
        <f>IF('Master Tracker'!A106="","",'Master Tracker'!A106)</f>
        <v>☐</v>
      </c>
      <c r="B8" s="14" t="str">
        <f>IF('Master Tracker'!B106="","",'Master Tracker'!B106)</f>
        <v>T-101</v>
      </c>
      <c r="C8" s="4" t="str">
        <f>IF('Master Tracker'!C106="","",'Master Tracker'!C106)</f>
        <v>BI &amp; Reports</v>
      </c>
      <c r="D8" s="4" t="str">
        <f>IF('Master Tracker'!D106="","",'Master Tracker'!D106)</f>
        <v>Executive Reports</v>
      </c>
      <c r="E8" s="15" t="str">
        <f>IF('Master Tracker'!E106="","",'Master Tracker'!E106)</f>
        <v>Design CEO dashboard</v>
      </c>
      <c r="F8" s="15" t="str">
        <f>IF('Master Tracker'!F106="","",'Master Tracker'!F106)</f>
        <v>Revenue, gross margin, active riders, source-type mix and risk counts</v>
      </c>
      <c r="G8" s="15" t="str">
        <f>IF('Master Tracker'!G106="","",'Master Tracker'!G106)</f>
        <v>All</v>
      </c>
      <c r="H8" s="4" t="str">
        <f>IF('Master Tracker'!H106="","",'Master Tracker'!H106)</f>
        <v>Medium</v>
      </c>
      <c r="I8" s="15" t="str">
        <f>IF('Master Tracker'!I106="","",'Master Tracker'!I106)</f>
        <v>Phase 4 - Integrations &amp; BI</v>
      </c>
      <c r="J8" s="4" t="str">
        <f>IF('Master Tracker'!J106="","",'Master Tracker'!J106)</f>
        <v/>
      </c>
      <c r="K8" s="4" t="str">
        <f>IF('Master Tracker'!K106="","",'Master Tracker'!K106)</f>
        <v>Not Started</v>
      </c>
      <c r="L8" s="4" t="str">
        <f>IF('Master Tracker'!L106="","",'Master Tracker'!L106)</f>
        <v/>
      </c>
      <c r="M8" s="18" t="str">
        <f>IF('Master Tracker'!M106="","",'Master Tracker'!M106)</f>
        <v/>
      </c>
      <c r="N8" s="4" t="str">
        <f>IF('Master Tracker'!N106="","",'Master Tracker'!N106)</f>
        <v/>
      </c>
    </row>
    <row r="9" spans="1:14" ht="22.65" customHeight="1" x14ac:dyDescent="0.45">
      <c r="A9" s="13" t="str">
        <f>IF('Master Tracker'!A107="","",'Master Tracker'!A107)</f>
        <v>☐</v>
      </c>
      <c r="B9" s="14" t="str">
        <f>IF('Master Tracker'!B107="","",'Master Tracker'!B107)</f>
        <v>T-102</v>
      </c>
      <c r="C9" s="4" t="str">
        <f>IF('Master Tracker'!C107="","",'Master Tracker'!C107)</f>
        <v>BI &amp; Reports</v>
      </c>
      <c r="D9" s="4" t="str">
        <f>IF('Master Tracker'!D107="","",'Master Tracker'!D107)</f>
        <v>Executive Reports</v>
      </c>
      <c r="E9" s="15" t="str">
        <f>IF('Master Tracker'!E107="","",'Master Tracker'!E107)</f>
        <v>Design weekly executive pack</v>
      </c>
      <c r="F9" s="15" t="str">
        <f>IF('Master Tracker'!F107="","",'Master Tracker'!F107)</f>
        <v>Compact performance summary for leadership review</v>
      </c>
      <c r="G9" s="15" t="str">
        <f>IF('Master Tracker'!G107="","",'Master Tracker'!G107)</f>
        <v>All</v>
      </c>
      <c r="H9" s="4" t="str">
        <f>IF('Master Tracker'!H107="","",'Master Tracker'!H107)</f>
        <v>Low</v>
      </c>
      <c r="I9" s="15" t="str">
        <f>IF('Master Tracker'!I107="","",'Master Tracker'!I107)</f>
        <v>Phase 4 - Integrations &amp; BI</v>
      </c>
      <c r="J9" s="4" t="str">
        <f>IF('Master Tracker'!J107="","",'Master Tracker'!J107)</f>
        <v/>
      </c>
      <c r="K9" s="4" t="str">
        <f>IF('Master Tracker'!K107="","",'Master Tracker'!K107)</f>
        <v>Not Started</v>
      </c>
      <c r="L9" s="4" t="str">
        <f>IF('Master Tracker'!L107="","",'Master Tracker'!L107)</f>
        <v/>
      </c>
      <c r="M9" s="18" t="str">
        <f>IF('Master Tracker'!M107="","",'Master Tracker'!M107)</f>
        <v/>
      </c>
      <c r="N9" s="4" t="str">
        <f>IF('Master Tracker'!N107="","",'Master Tracker'!N107)</f>
        <v/>
      </c>
    </row>
    <row r="10" spans="1:14" ht="22.65" customHeight="1" x14ac:dyDescent="0.45">
      <c r="A10" s="13" t="str">
        <f>IF('Master Tracker'!A108="","",'Master Tracker'!A108)</f>
        <v>☐</v>
      </c>
      <c r="B10" s="14" t="str">
        <f>IF('Master Tracker'!B108="","",'Master Tracker'!B108)</f>
        <v>T-103</v>
      </c>
      <c r="C10" s="4" t="str">
        <f>IF('Master Tracker'!C108="","",'Master Tracker'!C108)</f>
        <v>BI &amp; Reports</v>
      </c>
      <c r="D10" s="4" t="str">
        <f>IF('Master Tracker'!D108="","",'Master Tracker'!D108)</f>
        <v>Ops Reports</v>
      </c>
      <c r="E10" s="15" t="str">
        <f>IF('Master Tracker'!E108="","",'Master Tracker'!E108)</f>
        <v>Define rider productivity report</v>
      </c>
      <c r="F10" s="15" t="str">
        <f>IF('Master Tracker'!F108="","",'Master Tracker'!F108)</f>
        <v>Orders per rider, shift hours, acceptance and downtime impact</v>
      </c>
      <c r="G10" s="15" t="str">
        <f>IF('Master Tracker'!G108="","",'Master Tracker'!G108)</f>
        <v>All</v>
      </c>
      <c r="H10" s="4" t="str">
        <f>IF('Master Tracker'!H108="","",'Master Tracker'!H108)</f>
        <v>Medium</v>
      </c>
      <c r="I10" s="15" t="str">
        <f>IF('Master Tracker'!I108="","",'Master Tracker'!I108)</f>
        <v>Phase 4 - Integrations &amp; BI</v>
      </c>
      <c r="J10" s="4" t="str">
        <f>IF('Master Tracker'!J108="","",'Master Tracker'!J108)</f>
        <v/>
      </c>
      <c r="K10" s="4" t="str">
        <f>IF('Master Tracker'!K108="","",'Master Tracker'!K108)</f>
        <v>Not Started</v>
      </c>
      <c r="L10" s="4" t="str">
        <f>IF('Master Tracker'!L108="","",'Master Tracker'!L108)</f>
        <v/>
      </c>
      <c r="M10" s="18" t="str">
        <f>IF('Master Tracker'!M108="","",'Master Tracker'!M108)</f>
        <v/>
      </c>
      <c r="N10" s="4" t="str">
        <f>IF('Master Tracker'!N108="","",'Master Tracker'!N108)</f>
        <v/>
      </c>
    </row>
    <row r="11" spans="1:14" ht="22.65" customHeight="1" x14ac:dyDescent="0.45">
      <c r="A11" s="13" t="str">
        <f>IF('Master Tracker'!A109="","",'Master Tracker'!A109)</f>
        <v>☐</v>
      </c>
      <c r="B11" s="14" t="str">
        <f>IF('Master Tracker'!B109="","",'Master Tracker'!B109)</f>
        <v>T-104</v>
      </c>
      <c r="C11" s="4" t="str">
        <f>IF('Master Tracker'!C109="","",'Master Tracker'!C109)</f>
        <v>BI &amp; Reports</v>
      </c>
      <c r="D11" s="4" t="str">
        <f>IF('Master Tracker'!D109="","",'Master Tracker'!D109)</f>
        <v>Ops Reports</v>
      </c>
      <c r="E11" s="15" t="str">
        <f>IF('Master Tracker'!E109="","",'Master Tracker'!E109)</f>
        <v>Define idle rider / idle vehicle analysis</v>
      </c>
      <c r="F11" s="15" t="str">
        <f>IF('Master Tracker'!F109="","",'Master Tracker'!F109)</f>
        <v>Find underutilized resources and pairing opportunities</v>
      </c>
      <c r="G11" s="15" t="str">
        <f>IF('Master Tracker'!G109="","",'Master Tracker'!G109)</f>
        <v>Owned + Rented</v>
      </c>
      <c r="H11" s="4" t="str">
        <f>IF('Master Tracker'!H109="","",'Master Tracker'!H109)</f>
        <v>Medium</v>
      </c>
      <c r="I11" s="15" t="str">
        <f>IF('Master Tracker'!I109="","",'Master Tracker'!I109)</f>
        <v>Phase 4 - Integrations &amp; BI</v>
      </c>
      <c r="J11" s="4" t="str">
        <f>IF('Master Tracker'!J109="","",'Master Tracker'!J109)</f>
        <v/>
      </c>
      <c r="K11" s="4" t="str">
        <f>IF('Master Tracker'!K109="","",'Master Tracker'!K109)</f>
        <v>Not Started</v>
      </c>
      <c r="L11" s="4" t="str">
        <f>IF('Master Tracker'!L109="","",'Master Tracker'!L109)</f>
        <v/>
      </c>
      <c r="M11" s="18" t="str">
        <f>IF('Master Tracker'!M109="","",'Master Tracker'!M109)</f>
        <v/>
      </c>
      <c r="N11" s="4" t="str">
        <f>IF('Master Tracker'!N109="","",'Master Tracker'!N109)</f>
        <v/>
      </c>
    </row>
    <row r="12" spans="1:14" ht="22.65" customHeight="1" x14ac:dyDescent="0.45">
      <c r="A12" s="13" t="str">
        <f>IF('Master Tracker'!A110="","",'Master Tracker'!A110)</f>
        <v>☐</v>
      </c>
      <c r="B12" s="14" t="str">
        <f>IF('Master Tracker'!B110="","",'Master Tracker'!B110)</f>
        <v>T-105</v>
      </c>
      <c r="C12" s="4" t="str">
        <f>IF('Master Tracker'!C110="","",'Master Tracker'!C110)</f>
        <v>BI &amp; Reports</v>
      </c>
      <c r="D12" s="4" t="str">
        <f>IF('Master Tracker'!D110="","",'Master Tracker'!D110)</f>
        <v>Fleet Reports</v>
      </c>
      <c r="E12" s="15" t="str">
        <f>IF('Master Tracker'!E110="","",'Master Tracker'!E110)</f>
        <v>Define fleet aging and replacement report</v>
      </c>
      <c r="F12" s="15" t="str">
        <f>IF('Master Tracker'!F110="","",'Master Tracker'!F110)</f>
        <v>Owned fleet lifecycle and disposal signals</v>
      </c>
      <c r="G12" s="15" t="str">
        <f>IF('Master Tracker'!G110="","",'Master Tracker'!G110)</f>
        <v>Owned Only</v>
      </c>
      <c r="H12" s="4" t="str">
        <f>IF('Master Tracker'!H110="","",'Master Tracker'!H110)</f>
        <v>Medium</v>
      </c>
      <c r="I12" s="15" t="str">
        <f>IF('Master Tracker'!I110="","",'Master Tracker'!I110)</f>
        <v>Phase 4 - Integrations &amp; BI</v>
      </c>
      <c r="J12" s="4" t="str">
        <f>IF('Master Tracker'!J110="","",'Master Tracker'!J110)</f>
        <v/>
      </c>
      <c r="K12" s="4" t="str">
        <f>IF('Master Tracker'!K110="","",'Master Tracker'!K110)</f>
        <v>Not Started</v>
      </c>
      <c r="L12" s="4" t="str">
        <f>IF('Master Tracker'!L110="","",'Master Tracker'!L110)</f>
        <v/>
      </c>
      <c r="M12" s="18" t="str">
        <f>IF('Master Tracker'!M110="","",'Master Tracker'!M110)</f>
        <v/>
      </c>
      <c r="N12" s="4" t="str">
        <f>IF('Master Tracker'!N110="","",'Master Tracker'!N110)</f>
        <v/>
      </c>
    </row>
    <row r="13" spans="1:14" ht="22.65" customHeight="1" x14ac:dyDescent="0.45">
      <c r="A13" s="13" t="str">
        <f>IF('Master Tracker'!A111="","",'Master Tracker'!A111)</f>
        <v>☐</v>
      </c>
      <c r="B13" s="14" t="str">
        <f>IF('Master Tracker'!B111="","",'Master Tracker'!B111)</f>
        <v>T-106</v>
      </c>
      <c r="C13" s="4" t="str">
        <f>IF('Master Tracker'!C111="","",'Master Tracker'!C111)</f>
        <v>BI &amp; Reports</v>
      </c>
      <c r="D13" s="4" t="str">
        <f>IF('Master Tracker'!D111="","",'Master Tracker'!D111)</f>
        <v>Fleet Reports</v>
      </c>
      <c r="E13" s="15" t="str">
        <f>IF('Master Tracker'!E111="","",'Master Tracker'!E111)</f>
        <v>Define downtime and maintenance report</v>
      </c>
      <c r="F13" s="15" t="str">
        <f>IF('Master Tracker'!F111="","",'Master Tracker'!F111)</f>
        <v>Events, hours lost, cause and replacement demand</v>
      </c>
      <c r="G13" s="15" t="str">
        <f>IF('Master Tracker'!G111="","",'Master Tracker'!G111)</f>
        <v>All</v>
      </c>
      <c r="H13" s="4" t="str">
        <f>IF('Master Tracker'!H111="","",'Master Tracker'!H111)</f>
        <v>Medium</v>
      </c>
      <c r="I13" s="15" t="str">
        <f>IF('Master Tracker'!I111="","",'Master Tracker'!I111)</f>
        <v>Phase 4 - Integrations &amp; BI</v>
      </c>
      <c r="J13" s="4" t="str">
        <f>IF('Master Tracker'!J111="","",'Master Tracker'!J111)</f>
        <v/>
      </c>
      <c r="K13" s="4" t="str">
        <f>IF('Master Tracker'!K111="","",'Master Tracker'!K111)</f>
        <v>Not Started</v>
      </c>
      <c r="L13" s="4" t="str">
        <f>IF('Master Tracker'!L111="","",'Master Tracker'!L111)</f>
        <v/>
      </c>
      <c r="M13" s="18" t="str">
        <f>IF('Master Tracker'!M111="","",'Master Tracker'!M111)</f>
        <v/>
      </c>
      <c r="N13" s="4" t="str">
        <f>IF('Master Tracker'!N111="","",'Master Tracker'!N111)</f>
        <v/>
      </c>
    </row>
    <row r="14" spans="1:14" ht="22.65" customHeight="1" x14ac:dyDescent="0.45">
      <c r="A14" s="13" t="str">
        <f>IF('Master Tracker'!A112="","",'Master Tracker'!A112)</f>
        <v>☐</v>
      </c>
      <c r="B14" s="14" t="str">
        <f>IF('Master Tracker'!B112="","",'Master Tracker'!B112)</f>
        <v>T-107</v>
      </c>
      <c r="C14" s="4" t="str">
        <f>IF('Master Tracker'!C112="","",'Master Tracker'!C112)</f>
        <v>BI &amp; Reports</v>
      </c>
      <c r="D14" s="4" t="str">
        <f>IF('Master Tracker'!D112="","",'Master Tracker'!D112)</f>
        <v>Finance Reports</v>
      </c>
      <c r="E14" s="15" t="str">
        <f>IF('Master Tracker'!E112="","",'Master Tracker'!E112)</f>
        <v>Define payroll exception report</v>
      </c>
      <c r="F14" s="15" t="str">
        <f>IF('Master Tracker'!F112="","",'Master Tracker'!F112)</f>
        <v>Outliers in incentives, deductions, zero-pay and negative-pay cases</v>
      </c>
      <c r="G14" s="15" t="str">
        <f>IF('Master Tracker'!G112="","",'Master Tracker'!G112)</f>
        <v>All</v>
      </c>
      <c r="H14" s="4" t="str">
        <f>IF('Master Tracker'!H112="","",'Master Tracker'!H112)</f>
        <v>High</v>
      </c>
      <c r="I14" s="15" t="str">
        <f>IF('Master Tracker'!I112="","",'Master Tracker'!I112)</f>
        <v>Phase 4 - Integrations &amp; BI</v>
      </c>
      <c r="J14" s="4" t="str">
        <f>IF('Master Tracker'!J112="","",'Master Tracker'!J112)</f>
        <v/>
      </c>
      <c r="K14" s="4" t="str">
        <f>IF('Master Tracker'!K112="","",'Master Tracker'!K112)</f>
        <v>Not Started</v>
      </c>
      <c r="L14" s="4" t="str">
        <f>IF('Master Tracker'!L112="","",'Master Tracker'!L112)</f>
        <v/>
      </c>
      <c r="M14" s="18" t="str">
        <f>IF('Master Tracker'!M112="","",'Master Tracker'!M112)</f>
        <v/>
      </c>
      <c r="N14" s="4" t="str">
        <f>IF('Master Tracker'!N112="","",'Master Tracker'!N112)</f>
        <v/>
      </c>
    </row>
    <row r="15" spans="1:14" ht="22.65" customHeight="1" x14ac:dyDescent="0.45">
      <c r="A15" s="13" t="str">
        <f>IF('Master Tracker'!A113="","",'Master Tracker'!A113)</f>
        <v>☐</v>
      </c>
      <c r="B15" s="14" t="str">
        <f>IF('Master Tracker'!B113="","",'Master Tracker'!B113)</f>
        <v>T-108</v>
      </c>
      <c r="C15" s="4" t="str">
        <f>IF('Master Tracker'!C113="","",'Master Tracker'!C113)</f>
        <v>BI &amp; Reports</v>
      </c>
      <c r="D15" s="4" t="str">
        <f>IF('Master Tracker'!D113="","",'Master Tracker'!D113)</f>
        <v>Finance Reports</v>
      </c>
      <c r="E15" s="15" t="str">
        <f>IF('Master Tracker'!E113="","",'Master Tracker'!E113)</f>
        <v>Define billing reconciliation report</v>
      </c>
      <c r="F15" s="15" t="str">
        <f>IF('Master Tracker'!F113="","",'Master Tracker'!F113)</f>
        <v>Order count, revenue, disputes and invoice support by period</v>
      </c>
      <c r="G15" s="15" t="str">
        <f>IF('Master Tracker'!G113="","",'Master Tracker'!G113)</f>
        <v>All</v>
      </c>
      <c r="H15" s="4" t="str">
        <f>IF('Master Tracker'!H113="","",'Master Tracker'!H113)</f>
        <v>High</v>
      </c>
      <c r="I15" s="15" t="str">
        <f>IF('Master Tracker'!I113="","",'Master Tracker'!I113)</f>
        <v>Phase 4 - Integrations &amp; BI</v>
      </c>
      <c r="J15" s="4" t="str">
        <f>IF('Master Tracker'!J113="","",'Master Tracker'!J113)</f>
        <v/>
      </c>
      <c r="K15" s="4" t="str">
        <f>IF('Master Tracker'!K113="","",'Master Tracker'!K113)</f>
        <v>Not Started</v>
      </c>
      <c r="L15" s="4" t="str">
        <f>IF('Master Tracker'!L113="","",'Master Tracker'!L113)</f>
        <v/>
      </c>
      <c r="M15" s="18" t="str">
        <f>IF('Master Tracker'!M113="","",'Master Tracker'!M113)</f>
        <v/>
      </c>
      <c r="N15" s="4" t="str">
        <f>IF('Master Tracker'!N113="","",'Master Tracker'!N113)</f>
        <v/>
      </c>
    </row>
    <row r="16" spans="1:14" ht="22.65" customHeight="1" x14ac:dyDescent="0.45">
      <c r="A16" s="13" t="str">
        <f>IF('Master Tracker'!A114="","",'Master Tracker'!A114)</f>
        <v>☐</v>
      </c>
      <c r="B16" s="14" t="str">
        <f>IF('Master Tracker'!B114="","",'Master Tracker'!B114)</f>
        <v>T-109</v>
      </c>
      <c r="C16" s="4" t="str">
        <f>IF('Master Tracker'!C114="","",'Master Tracker'!C114)</f>
        <v>BI &amp; Reports</v>
      </c>
      <c r="D16" s="4" t="str">
        <f>IF('Master Tracker'!D114="","",'Master Tracker'!D114)</f>
        <v>Compliance Reports</v>
      </c>
      <c r="E16" s="15" t="str">
        <f>IF('Master Tracker'!E114="","",'Master Tracker'!E114)</f>
        <v>Define compliance risk report</v>
      </c>
      <c r="F16" s="15" t="str">
        <f>IF('Master Tracker'!F114="","",'Master Tracker'!F114)</f>
        <v>Upcoming expiries, blocked assets, blocked riders and unresolved incidents</v>
      </c>
      <c r="G16" s="15" t="str">
        <f>IF('Master Tracker'!G114="","",'Master Tracker'!G114)</f>
        <v>All</v>
      </c>
      <c r="H16" s="4" t="str">
        <f>IF('Master Tracker'!H114="","",'Master Tracker'!H114)</f>
        <v>Medium</v>
      </c>
      <c r="I16" s="15" t="str">
        <f>IF('Master Tracker'!I114="","",'Master Tracker'!I114)</f>
        <v>Phase 4 - Integrations &amp; BI</v>
      </c>
      <c r="J16" s="4" t="str">
        <f>IF('Master Tracker'!J114="","",'Master Tracker'!J114)</f>
        <v/>
      </c>
      <c r="K16" s="4" t="str">
        <f>IF('Master Tracker'!K114="","",'Master Tracker'!K114)</f>
        <v>Not Started</v>
      </c>
      <c r="L16" s="4" t="str">
        <f>IF('Master Tracker'!L114="","",'Master Tracker'!L114)</f>
        <v/>
      </c>
      <c r="M16" s="18" t="str">
        <f>IF('Master Tracker'!M114="","",'Master Tracker'!M114)</f>
        <v/>
      </c>
      <c r="N16" s="4" t="str">
        <f>IF('Master Tracker'!N114="","",'Master Tracker'!N114)</f>
        <v/>
      </c>
    </row>
  </sheetData>
  <mergeCells count="2">
    <mergeCell ref="A2:N3"/>
    <mergeCell ref="A1:N1"/>
  </mergeCells>
  <conditionalFormatting sqref="H6:H16">
    <cfRule type="expression" dxfId="9" priority="5">
      <formula>$H6="Critical"</formula>
    </cfRule>
    <cfRule type="expression" dxfId="8" priority="6">
      <formula>$H6="High"</formula>
    </cfRule>
    <cfRule type="expression" dxfId="7" priority="7">
      <formula>$H6="Low"</formula>
    </cfRule>
  </conditionalFormatting>
  <conditionalFormatting sqref="K6:K16">
    <cfRule type="expression" dxfId="6" priority="1">
      <formula>$K6="Done"</formula>
    </cfRule>
    <cfRule type="expression" dxfId="5" priority="2">
      <formula>$K6="In Progress"</formula>
    </cfRule>
    <cfRule type="expression" dxfId="4" priority="3">
      <formula>$K6="Blocked"</formula>
    </cfRule>
    <cfRule type="expression" dxfId="3" priority="4">
      <formula>$K6="Not Started"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workbookViewId="0"/>
  </sheetViews>
  <sheetFormatPr defaultRowHeight="14.5" x14ac:dyDescent="0.35"/>
  <cols>
    <col min="1" max="1" width="11" customWidth="1"/>
    <col min="2" max="2" width="18" customWidth="1"/>
    <col min="3" max="3" width="24" customWidth="1"/>
    <col min="4" max="4" width="42" customWidth="1"/>
    <col min="5" max="5" width="24" customWidth="1"/>
    <col min="6" max="6" width="11" customWidth="1"/>
    <col min="7" max="7" width="14" customWidth="1"/>
    <col min="8" max="8" width="16" customWidth="1"/>
    <col min="9" max="9" width="36" customWidth="1"/>
  </cols>
  <sheetData>
    <row r="1" spans="1:9" ht="16" customHeight="1" x14ac:dyDescent="0.5">
      <c r="A1" s="28" t="s">
        <v>453</v>
      </c>
      <c r="B1" s="21"/>
      <c r="C1" s="21"/>
      <c r="D1" s="21"/>
      <c r="E1" s="21"/>
      <c r="F1" s="21"/>
      <c r="G1" s="21"/>
      <c r="H1" s="21"/>
      <c r="I1" s="21"/>
    </row>
    <row r="2" spans="1:9" ht="22.65" customHeight="1" x14ac:dyDescent="0.35">
      <c r="A2" s="26" t="s">
        <v>454</v>
      </c>
      <c r="B2" s="21"/>
      <c r="C2" s="21"/>
      <c r="D2" s="21"/>
      <c r="E2" s="21"/>
      <c r="F2" s="21"/>
      <c r="G2" s="21"/>
      <c r="H2" s="21"/>
      <c r="I2" s="21"/>
    </row>
    <row r="3" spans="1:9" ht="13.4" customHeight="1" x14ac:dyDescent="0.35">
      <c r="A3" s="21"/>
      <c r="B3" s="21"/>
      <c r="C3" s="21"/>
      <c r="D3" s="21"/>
      <c r="E3" s="21"/>
      <c r="F3" s="21"/>
      <c r="G3" s="21"/>
      <c r="H3" s="21"/>
      <c r="I3" s="21"/>
    </row>
    <row r="5" spans="1:9" ht="17.399999999999999" customHeight="1" x14ac:dyDescent="0.35">
      <c r="A5" s="3" t="s">
        <v>455</v>
      </c>
      <c r="B5" s="3" t="s">
        <v>456</v>
      </c>
      <c r="C5" s="3" t="s">
        <v>457</v>
      </c>
      <c r="D5" s="3" t="s">
        <v>458</v>
      </c>
      <c r="E5" s="3" t="s">
        <v>50</v>
      </c>
      <c r="F5" s="3" t="s">
        <v>51</v>
      </c>
      <c r="G5" s="3" t="s">
        <v>54</v>
      </c>
      <c r="H5" s="3" t="s">
        <v>55</v>
      </c>
      <c r="I5" s="3" t="s">
        <v>459</v>
      </c>
    </row>
    <row r="6" spans="1:9" ht="26.65" customHeight="1" x14ac:dyDescent="0.35">
      <c r="A6" s="15" t="s">
        <v>460</v>
      </c>
      <c r="B6" s="15" t="s">
        <v>461</v>
      </c>
      <c r="C6" s="15" t="s">
        <v>462</v>
      </c>
      <c r="D6" s="15" t="s">
        <v>463</v>
      </c>
      <c r="E6" s="15" t="s">
        <v>3</v>
      </c>
      <c r="F6" s="15" t="s">
        <v>1</v>
      </c>
      <c r="G6" s="19" t="s">
        <v>0</v>
      </c>
      <c r="H6" s="19" t="s">
        <v>62</v>
      </c>
      <c r="I6" s="15" t="s">
        <v>464</v>
      </c>
    </row>
    <row r="7" spans="1:9" ht="26.65" customHeight="1" x14ac:dyDescent="0.35">
      <c r="A7" s="15" t="s">
        <v>465</v>
      </c>
      <c r="B7" s="15" t="s">
        <v>466</v>
      </c>
      <c r="C7" s="15" t="s">
        <v>467</v>
      </c>
      <c r="D7" s="15" t="s">
        <v>468</v>
      </c>
      <c r="E7" s="15" t="s">
        <v>3</v>
      </c>
      <c r="F7" s="15" t="s">
        <v>1</v>
      </c>
      <c r="G7" s="19" t="s">
        <v>0</v>
      </c>
      <c r="H7" s="19" t="s">
        <v>62</v>
      </c>
      <c r="I7" s="15" t="s">
        <v>469</v>
      </c>
    </row>
    <row r="8" spans="1:9" ht="26.65" customHeight="1" x14ac:dyDescent="0.35">
      <c r="A8" s="15" t="s">
        <v>470</v>
      </c>
      <c r="B8" s="15" t="s">
        <v>471</v>
      </c>
      <c r="C8" s="15" t="s">
        <v>472</v>
      </c>
      <c r="D8" s="15" t="s">
        <v>473</v>
      </c>
      <c r="E8" s="15" t="s">
        <v>3</v>
      </c>
      <c r="F8" s="15" t="s">
        <v>1</v>
      </c>
      <c r="G8" s="19" t="s">
        <v>0</v>
      </c>
      <c r="H8" s="19" t="s">
        <v>62</v>
      </c>
      <c r="I8" s="15" t="s">
        <v>474</v>
      </c>
    </row>
    <row r="9" spans="1:9" ht="26.65" customHeight="1" x14ac:dyDescent="0.35">
      <c r="A9" s="15" t="s">
        <v>475</v>
      </c>
      <c r="B9" s="15" t="s">
        <v>476</v>
      </c>
      <c r="C9" s="15" t="s">
        <v>477</v>
      </c>
      <c r="D9" s="15" t="s">
        <v>478</v>
      </c>
      <c r="E9" s="15" t="s">
        <v>11</v>
      </c>
      <c r="F9" s="15" t="s">
        <v>5</v>
      </c>
      <c r="G9" s="19" t="s">
        <v>0</v>
      </c>
      <c r="H9" s="19" t="s">
        <v>62</v>
      </c>
      <c r="I9" s="15" t="s">
        <v>479</v>
      </c>
    </row>
    <row r="10" spans="1:9" ht="26.65" customHeight="1" x14ac:dyDescent="0.35">
      <c r="A10" s="15" t="s">
        <v>480</v>
      </c>
      <c r="B10" s="15" t="s">
        <v>481</v>
      </c>
      <c r="C10" s="15" t="s">
        <v>477</v>
      </c>
      <c r="D10" s="15" t="s">
        <v>482</v>
      </c>
      <c r="E10" s="15" t="s">
        <v>15</v>
      </c>
      <c r="F10" s="15" t="s">
        <v>5</v>
      </c>
      <c r="G10" s="19" t="s">
        <v>0</v>
      </c>
      <c r="H10" s="19" t="s">
        <v>62</v>
      </c>
      <c r="I10" s="15" t="s">
        <v>483</v>
      </c>
    </row>
    <row r="11" spans="1:9" ht="26.65" customHeight="1" x14ac:dyDescent="0.35">
      <c r="A11" s="15" t="s">
        <v>484</v>
      </c>
      <c r="B11" s="15" t="s">
        <v>485</v>
      </c>
      <c r="C11" s="15" t="s">
        <v>477</v>
      </c>
      <c r="D11" s="15" t="s">
        <v>486</v>
      </c>
      <c r="E11" s="15" t="s">
        <v>17</v>
      </c>
      <c r="F11" s="15" t="s">
        <v>5</v>
      </c>
      <c r="G11" s="19" t="s">
        <v>0</v>
      </c>
      <c r="H11" s="19" t="s">
        <v>62</v>
      </c>
      <c r="I11" s="15" t="s">
        <v>487</v>
      </c>
    </row>
    <row r="12" spans="1:9" ht="26.65" customHeight="1" x14ac:dyDescent="0.35">
      <c r="A12" s="15" t="s">
        <v>488</v>
      </c>
      <c r="B12" s="15" t="s">
        <v>489</v>
      </c>
      <c r="C12" s="15" t="s">
        <v>490</v>
      </c>
      <c r="D12" s="15" t="s">
        <v>491</v>
      </c>
      <c r="E12" s="15" t="s">
        <v>7</v>
      </c>
      <c r="F12" s="15" t="s">
        <v>1</v>
      </c>
      <c r="G12" s="19" t="s">
        <v>0</v>
      </c>
      <c r="H12" s="19" t="s">
        <v>62</v>
      </c>
      <c r="I12" s="15" t="s">
        <v>492</v>
      </c>
    </row>
    <row r="13" spans="1:9" ht="26.65" customHeight="1" x14ac:dyDescent="0.35">
      <c r="A13" s="15" t="s">
        <v>493</v>
      </c>
      <c r="B13" s="15" t="s">
        <v>494</v>
      </c>
      <c r="C13" s="15" t="s">
        <v>495</v>
      </c>
      <c r="D13" s="15" t="s">
        <v>496</v>
      </c>
      <c r="E13" s="15" t="s">
        <v>3</v>
      </c>
      <c r="F13" s="15" t="s">
        <v>1</v>
      </c>
      <c r="G13" s="19" t="s">
        <v>0</v>
      </c>
      <c r="H13" s="19" t="s">
        <v>62</v>
      </c>
      <c r="I13" s="15" t="s">
        <v>497</v>
      </c>
    </row>
    <row r="14" spans="1:9" ht="26.65" customHeight="1" x14ac:dyDescent="0.35">
      <c r="A14" s="15" t="s">
        <v>498</v>
      </c>
      <c r="B14" s="15" t="s">
        <v>499</v>
      </c>
      <c r="C14" s="15" t="s">
        <v>500</v>
      </c>
      <c r="D14" s="15" t="s">
        <v>501</v>
      </c>
      <c r="E14" s="15" t="s">
        <v>7</v>
      </c>
      <c r="F14" s="15" t="s">
        <v>1</v>
      </c>
      <c r="G14" s="19" t="s">
        <v>0</v>
      </c>
      <c r="H14" s="19" t="s">
        <v>62</v>
      </c>
      <c r="I14" s="15" t="s">
        <v>502</v>
      </c>
    </row>
    <row r="15" spans="1:9" ht="26.65" customHeight="1" x14ac:dyDescent="0.35">
      <c r="A15" s="15" t="s">
        <v>503</v>
      </c>
      <c r="B15" s="15" t="s">
        <v>504</v>
      </c>
      <c r="C15" s="15" t="s">
        <v>505</v>
      </c>
      <c r="D15" s="15" t="s">
        <v>506</v>
      </c>
      <c r="E15" s="15" t="s">
        <v>7</v>
      </c>
      <c r="F15" s="15" t="s">
        <v>5</v>
      </c>
      <c r="G15" s="19" t="s">
        <v>0</v>
      </c>
      <c r="H15" s="19" t="s">
        <v>62</v>
      </c>
      <c r="I15" s="15" t="s">
        <v>507</v>
      </c>
    </row>
    <row r="16" spans="1:9" ht="26.65" customHeight="1" x14ac:dyDescent="0.35">
      <c r="A16" s="15" t="s">
        <v>508</v>
      </c>
      <c r="B16" s="15" t="s">
        <v>509</v>
      </c>
      <c r="C16" s="15" t="s">
        <v>510</v>
      </c>
      <c r="D16" s="15" t="s">
        <v>511</v>
      </c>
      <c r="E16" s="15" t="s">
        <v>3</v>
      </c>
      <c r="F16" s="15" t="s">
        <v>1</v>
      </c>
      <c r="G16" s="19" t="s">
        <v>0</v>
      </c>
      <c r="H16" s="19" t="s">
        <v>62</v>
      </c>
      <c r="I16" s="15" t="s">
        <v>512</v>
      </c>
    </row>
    <row r="17" spans="1:9" ht="26.65" customHeight="1" x14ac:dyDescent="0.35">
      <c r="A17" s="15" t="s">
        <v>513</v>
      </c>
      <c r="B17" s="15" t="s">
        <v>514</v>
      </c>
      <c r="C17" s="15" t="s">
        <v>515</v>
      </c>
      <c r="D17" s="15" t="s">
        <v>516</v>
      </c>
      <c r="E17" s="15" t="s">
        <v>3</v>
      </c>
      <c r="F17" s="15" t="s">
        <v>1</v>
      </c>
      <c r="G17" s="19" t="s">
        <v>0</v>
      </c>
      <c r="H17" s="19" t="s">
        <v>62</v>
      </c>
      <c r="I17" s="15" t="s">
        <v>517</v>
      </c>
    </row>
    <row r="18" spans="1:9" ht="26.65" customHeight="1" x14ac:dyDescent="0.35">
      <c r="A18" s="15" t="s">
        <v>518</v>
      </c>
      <c r="B18" s="15" t="s">
        <v>519</v>
      </c>
      <c r="C18" s="15" t="s">
        <v>520</v>
      </c>
      <c r="D18" s="15" t="s">
        <v>521</v>
      </c>
      <c r="E18" s="15" t="s">
        <v>3</v>
      </c>
      <c r="F18" s="15" t="s">
        <v>5</v>
      </c>
      <c r="G18" s="19" t="s">
        <v>0</v>
      </c>
      <c r="H18" s="19" t="s">
        <v>62</v>
      </c>
      <c r="I18" s="15" t="s">
        <v>522</v>
      </c>
    </row>
    <row r="19" spans="1:9" ht="26.65" customHeight="1" x14ac:dyDescent="0.35">
      <c r="A19" s="15" t="s">
        <v>523</v>
      </c>
      <c r="B19" s="15" t="s">
        <v>524</v>
      </c>
      <c r="C19" s="15" t="s">
        <v>525</v>
      </c>
      <c r="D19" s="15" t="s">
        <v>526</v>
      </c>
      <c r="E19" s="15" t="s">
        <v>3</v>
      </c>
      <c r="F19" s="15" t="s">
        <v>5</v>
      </c>
      <c r="G19" s="19" t="s">
        <v>0</v>
      </c>
      <c r="H19" s="19" t="s">
        <v>62</v>
      </c>
      <c r="I19" s="15" t="s">
        <v>527</v>
      </c>
    </row>
    <row r="20" spans="1:9" ht="26.65" customHeight="1" x14ac:dyDescent="0.35">
      <c r="A20" s="15" t="s">
        <v>528</v>
      </c>
      <c r="B20" s="15" t="s">
        <v>529</v>
      </c>
      <c r="C20" s="15" t="s">
        <v>530</v>
      </c>
      <c r="D20" s="15" t="s">
        <v>531</v>
      </c>
      <c r="E20" s="15" t="s">
        <v>3</v>
      </c>
      <c r="F20" s="15" t="s">
        <v>1</v>
      </c>
      <c r="G20" s="19" t="s">
        <v>0</v>
      </c>
      <c r="H20" s="19" t="s">
        <v>62</v>
      </c>
      <c r="I20" s="15" t="s">
        <v>532</v>
      </c>
    </row>
  </sheetData>
  <mergeCells count="2">
    <mergeCell ref="A1:I1"/>
    <mergeCell ref="A2:I3"/>
  </mergeCells>
  <conditionalFormatting sqref="G6:G20">
    <cfRule type="expression" dxfId="2" priority="1">
      <formula>$G6="Done"</formula>
    </cfRule>
    <cfRule type="expression" dxfId="1" priority="2">
      <formula>$G6="In Progress"</formula>
    </cfRule>
    <cfRule type="expression" dxfId="0" priority="3">
      <formula>$G6="Blocked"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B00-000000000000}">
          <x14:formula1>
            <xm:f>Lists!$A$1:$A$5</xm:f>
          </x14:formula1>
          <xm:sqref>G6:G20</xm:sqref>
        </x14:dataValidation>
        <x14:dataValidation type="list" allowBlank="1" xr:uid="{00000000-0002-0000-0B00-000001000000}">
          <x14:formula1>
            <xm:f>Lists!$B$1:$B$4</xm:f>
          </x14:formula1>
          <xm:sqref>F6:F20</xm:sqref>
        </x14:dataValidation>
        <x14:dataValidation type="list" allowBlank="1" xr:uid="{00000000-0002-0000-0B00-000002000000}">
          <x14:formula1>
            <xm:f>Lists!$D$1:$D$6</xm:f>
          </x14:formula1>
          <xm:sqref>E6:E20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Lists</vt:lpstr>
      <vt:lpstr>Overview</vt:lpstr>
      <vt:lpstr>Master Tracker</vt:lpstr>
      <vt:lpstr>Data Model</vt:lpstr>
      <vt:lpstr>HR</vt:lpstr>
      <vt:lpstr>Operations</vt:lpstr>
      <vt:lpstr>Fleet</vt:lpstr>
      <vt:lpstr>Finance</vt:lpstr>
      <vt:lpstr>Compliance</vt:lpstr>
      <vt:lpstr>Integrations</vt:lpstr>
      <vt:lpstr>BI &amp; Reports</vt:lpstr>
      <vt:lpstr>Logic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Bader</cp:lastModifiedBy>
  <dcterms:modified xsi:type="dcterms:W3CDTF">2026-04-18T15:52:28Z</dcterms:modified>
</cp:coreProperties>
</file>